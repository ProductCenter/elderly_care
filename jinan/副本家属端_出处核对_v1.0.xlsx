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7660" windowHeight="13300"/>
  </bookViews>
  <sheets>
    <sheet name="功能点测算表" sheetId="1" r:id="rId1"/>
    <sheet name="出处核对汇总" sheetId="2" r:id="rId2"/>
    <sheet name="测算依据" sheetId="3" state="hidden" r:id="rId3"/>
  </sheets>
  <definedNames>
    <definedName name="_xlnm._FilterDatabase" localSheetId="0" hidden="1">功能点测算表!$A$1:$N$274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<sst xmlns="http://schemas.openxmlformats.org/spreadsheetml/2006/main" count="2799" uniqueCount="713">
  <si>
    <t>序号</t>
  </si>
  <si>
    <t>一级功能</t>
  </si>
  <si>
    <t>二级功能</t>
  </si>
  <si>
    <t>三级功能</t>
  </si>
  <si>
    <t>功能动作</t>
  </si>
  <si>
    <t>功能说明</t>
  </si>
  <si>
    <t>功能点类型</t>
  </si>
  <si>
    <t>功能点</t>
  </si>
  <si>
    <t>人天</t>
  </si>
  <si>
    <t>按二级功能工时</t>
  </si>
  <si>
    <t>复用度</t>
  </si>
  <si>
    <t>是否有出处</t>
  </si>
  <si>
    <t>PDF 出处位置</t>
  </si>
  <si>
    <t>出处备注</t>
  </si>
  <si>
    <t>首页</t>
  </si>
  <si>
    <t>长者管理</t>
  </si>
  <si>
    <t>长者切换</t>
  </si>
  <si>
    <t>录入／提交</t>
  </si>
  <si>
    <t>在“妈妈／爸爸”之间切换查看照护数据</t>
  </si>
  <si>
    <t>EI</t>
  </si>
  <si>
    <t>低</t>
  </si>
  <si>
    <t>有出处</t>
  </si>
  <si>
    <t>§1.1 长辈与消息</t>
  </si>
  <si>
    <t>PDF：在妈妈林淑芬、爸爸王建国之间切换</t>
  </si>
  <si>
    <t>添加长者</t>
  </si>
  <si>
    <t>新增</t>
  </si>
  <si>
    <t>需关注的长者</t>
  </si>
  <si>
    <t>PDF：并提供添加长辈入口</t>
  </si>
  <si>
    <t>数据同步</t>
  </si>
  <si>
    <t>展示</t>
  </si>
  <si>
    <t>长者端数据最近同步时间</t>
  </si>
  <si>
    <t>EQ</t>
  </si>
  <si>
    <t>PDF：显示问候语、长者端数据同步状态</t>
  </si>
  <si>
    <t>今日状态</t>
  </si>
  <si>
    <t>健康速览</t>
  </si>
  <si>
    <t>血压</t>
  </si>
  <si>
    <t>§1.2 今日状态与健康指标</t>
  </si>
  <si>
    <t>PDF：血压、空腹血糖、昨夜睡眠等关键指标</t>
  </si>
  <si>
    <t>空腹血糖</t>
  </si>
  <si>
    <t>部分出处</t>
  </si>
  <si>
    <t>PDF 仅列举血压、空腹血糖、睡眠三项，未点名心率</t>
  </si>
  <si>
    <t>昨夜睡眠</t>
  </si>
  <si>
    <t>PDF 仅提“今日状态摘要”，未列用药完成进度</t>
  </si>
  <si>
    <t>状态判断</t>
  </si>
  <si>
    <t>“一切安好／需关注”等当日状态</t>
  </si>
  <si>
    <t>EO</t>
  </si>
  <si>
    <t>PDF：显示今日状态摘要</t>
  </si>
  <si>
    <t>日程提醒</t>
  </si>
  <si>
    <t>家庭日历提醒</t>
  </si>
  <si>
    <t>即将到来的家宴、就诊等提醒</t>
  </si>
  <si>
    <t>§1.3 家庭提醒与需关注事项</t>
  </si>
  <si>
    <t>PDF：显示家庭日历提醒，包括中秋节家宴、日期和未读数量</t>
  </si>
  <si>
    <t>健康关注</t>
  </si>
  <si>
    <t>风险提示</t>
  </si>
  <si>
    <t>餐后血糖关注事项</t>
  </si>
  <si>
    <t>PDF：显示餐后血糖接近个人上限等健康关注项</t>
  </si>
  <si>
    <t>风险说明</t>
  </si>
  <si>
    <t>PDF：…等健康关注项（风险说明）</t>
  </si>
  <si>
    <t>健康详情</t>
  </si>
  <si>
    <t>跳转查看</t>
  </si>
  <si>
    <t>完整健康数据</t>
  </si>
  <si>
    <t>PDF：点击血压、血糖、睡眠单项进入对应健康详情</t>
  </si>
  <si>
    <t>AI 深度解读</t>
  </si>
  <si>
    <t>研判</t>
  </si>
  <si>
    <t>异常指标</t>
  </si>
  <si>
    <t>§1.3 家庭提醒与需关注事项、§3 AI Tab 与 AI 健康顾问</t>
  </si>
  <si>
    <t>PDF：并提供 AI 深度解读入口；可继续提问或返回首页</t>
  </si>
  <si>
    <t>核对</t>
  </si>
  <si>
    <t>异常线索</t>
  </si>
  <si>
    <t>§3 AI Tab 与 AI 健康顾问</t>
  </si>
  <si>
    <t>“核对异常线索”属深度解读流程内细分动作，PDF 未单列</t>
  </si>
  <si>
    <t>生成</t>
  </si>
  <si>
    <t>健康建议</t>
  </si>
  <si>
    <t>PDF：显示健康建议仅供参考的提示</t>
  </si>
  <si>
    <t>家人陪伴</t>
  </si>
  <si>
    <t>视频通话</t>
  </si>
  <si>
    <t>发起</t>
  </si>
  <si>
    <t>与长者的视频通话</t>
  </si>
  <si>
    <t>§1.4 陪伴与家庭动态</t>
  </si>
  <si>
    <t>PDF：提供视频通话、发送消息、约时间快捷操作</t>
  </si>
  <si>
    <t>发送消息</t>
  </si>
  <si>
    <t>向长者发送文字消息</t>
  </si>
  <si>
    <t>同上</t>
  </si>
  <si>
    <t>预约时间</t>
  </si>
  <si>
    <t>创建</t>
  </si>
  <si>
    <t>陪伴／联系安排</t>
  </si>
  <si>
    <t>同上（约时间）</t>
  </si>
  <si>
    <t>家人动态</t>
  </si>
  <si>
    <t>长者动态流</t>
  </si>
  <si>
    <t>查看</t>
  </si>
  <si>
    <t>长者照片</t>
  </si>
  <si>
    <t>§1.4 陪伴与家庭动态、§7 家人时光</t>
  </si>
  <si>
    <t>PDF：展示最新家庭动态卡片；查看家庭动态、照片</t>
  </si>
  <si>
    <t>长者活动</t>
  </si>
  <si>
    <t>§7 家人时光</t>
  </si>
  <si>
    <t>PDF 未单列“长者活动”</t>
  </si>
  <si>
    <t>PDF：查看家庭动态、照片和家庭互动内容</t>
  </si>
  <si>
    <t>情感互动</t>
  </si>
  <si>
    <t>互动</t>
  </si>
  <si>
    <t>想念</t>
  </si>
  <si>
    <t>PDF 仅概括“家庭互动内容/家庭小心愿”，未列想念、拥抱、评论</t>
  </si>
  <si>
    <t>拥抱</t>
  </si>
  <si>
    <t>评论</t>
  </si>
  <si>
    <t>家人时光</t>
  </si>
  <si>
    <t>进入</t>
  </si>
  <si>
    <t>家庭相册与互动内容</t>
  </si>
  <si>
    <t>PDF：支持打开家人时光</t>
  </si>
  <si>
    <t>消息</t>
  </si>
  <si>
    <t>消息通知</t>
  </si>
  <si>
    <t>健康通知</t>
  </si>
  <si>
    <t>§1.1 长辈与消息、§8 照护告警与消息</t>
  </si>
  <si>
    <t>PDF 仅提“消息通知列表”，未做健康/服务/家人类分类</t>
  </si>
  <si>
    <t>服务通知</t>
  </si>
  <si>
    <t>家人类通知</t>
  </si>
  <si>
    <t>健康</t>
  </si>
  <si>
    <t>健康总览</t>
  </si>
  <si>
    <t>健康评分</t>
  </si>
  <si>
    <t>综合健康评分</t>
  </si>
  <si>
    <t>§2 健康 Tab</t>
  </si>
  <si>
    <t>PDF 仅提“健康画像”，未列综合评分、健康状态、异常数量</t>
  </si>
  <si>
    <t>健康状态</t>
  </si>
  <si>
    <t>异常数量</t>
  </si>
  <si>
    <t>健康指标</t>
  </si>
  <si>
    <t>指标详情</t>
  </si>
  <si>
    <t>§1.2 今日状态与健康指标、§9 计划、用药与其他照护页面</t>
  </si>
  <si>
    <t>PDF：血压、空腹血糖等关键指标；身体指标详情</t>
  </si>
  <si>
    <t>血糖</t>
  </si>
  <si>
    <t>PDF：空腹血糖；身体指标详情</t>
  </si>
  <si>
    <t>心率</t>
  </si>
  <si>
    <t>§9 计划、用药与其他照护页面</t>
  </si>
  <si>
    <t>PDF 未点名心率指标</t>
  </si>
  <si>
    <t>体重</t>
  </si>
  <si>
    <t>§10 设备、地址与设置</t>
  </si>
  <si>
    <t>PDF 仅提“智能体重秤配对演示”，未列体重指标页</t>
  </si>
  <si>
    <t>趋势分析</t>
  </si>
  <si>
    <t>血压趋势</t>
  </si>
  <si>
    <t>PDF 仅提“身体指标详情”，未列趋势分析、异常日期</t>
  </si>
  <si>
    <t>异常日期</t>
  </si>
  <si>
    <t>测量记录</t>
  </si>
  <si>
    <t>最近测量数据</t>
  </si>
  <si>
    <t>PDF 仅提“健康数据”，未列最近测量、复测结果、告警状态</t>
  </si>
  <si>
    <t>复测结果</t>
  </si>
  <si>
    <t>告警状态</t>
  </si>
  <si>
    <t>用药管理</t>
  </si>
  <si>
    <t>今日用药计划</t>
  </si>
  <si>
    <t>当日应服药品</t>
  </si>
  <si>
    <t>PDF 仅提“用药管理：用药记录和用药提醒相关页面”，未列当日应服药品</t>
  </si>
  <si>
    <t>已服药品</t>
  </si>
  <si>
    <t>PDF 仅提“用药管理：用药记录和用药提醒相关页面”，未列已服药品</t>
  </si>
  <si>
    <t>待服药品</t>
  </si>
  <si>
    <t>PDF 仅提“用药管理：用药记录和用药提醒相关页面”，未列待服药品</t>
  </si>
  <si>
    <t>用药清单</t>
  </si>
  <si>
    <t>管理</t>
  </si>
  <si>
    <t>药品</t>
  </si>
  <si>
    <t>PDF 仅提“用药管理：用药记录和用药提醒相关页面”，未列药品</t>
  </si>
  <si>
    <t>服用时间</t>
  </si>
  <si>
    <t>PDF 仅提“用药管理：用药记录和用药提醒相关页面”，未列服用时间</t>
  </si>
  <si>
    <t>余量提醒</t>
  </si>
  <si>
    <t>PDF 仅提“用药管理：用药记录和用药提醒相关页面”，未列余量提醒</t>
  </si>
  <si>
    <t>用药打卡</t>
  </si>
  <si>
    <t>近 7 天服药完成情况</t>
  </si>
  <si>
    <t>PDF 仅提“用药管理：用药记录和用药提醒相关页面”，未列近 7 天服药完成情况</t>
  </si>
  <si>
    <t>新增用药</t>
  </si>
  <si>
    <t>用药项目</t>
  </si>
  <si>
    <t>PDF 仅提“用药管理：用药记录和用药提醒相关页面”，未列新增用药</t>
  </si>
  <si>
    <t>睡眠管理</t>
  </si>
  <si>
    <t>睡眠报告</t>
  </si>
  <si>
    <t>睡眠时长</t>
  </si>
  <si>
    <t>§9 计划、用药与其他照护页面、§1.2 今日状态与健康指标</t>
  </si>
  <si>
    <t>PDF：睡眠报告；昨夜睡眠</t>
  </si>
  <si>
    <t>深睡和浅睡</t>
  </si>
  <si>
    <t>PDF 仅提“睡眠报告”，未列深睡浅睡、夜醒情况</t>
  </si>
  <si>
    <t>夜醒情况</t>
  </si>
  <si>
    <t>睡眠趋势</t>
  </si>
  <si>
    <t>近 7 天睡眠达标情况</t>
  </si>
  <si>
    <t>PDF 仅提“健康建议”，未列睡眠趋势、助眠音频、作息提醒、问诊建议</t>
  </si>
  <si>
    <t>睡眠建议</t>
  </si>
  <si>
    <t>提供</t>
  </si>
  <si>
    <t>助眠音频</t>
  </si>
  <si>
    <t>作息提醒</t>
  </si>
  <si>
    <t>问诊建议</t>
  </si>
  <si>
    <t>运动管理</t>
  </si>
  <si>
    <t>运动记录</t>
  </si>
  <si>
    <t>步数</t>
  </si>
  <si>
    <t>PDF 仅提“运动等健康内容入口”，未列步数、活动时段、目标完成度</t>
  </si>
  <si>
    <t>活动时段</t>
  </si>
  <si>
    <t>目标完成度</t>
  </si>
  <si>
    <t>运动趋势</t>
  </si>
  <si>
    <t>近 7 天步数趋势</t>
  </si>
  <si>
    <t>PDF 未列运动趋势（近 7 天步数）</t>
  </si>
  <si>
    <t>运动建议</t>
  </si>
  <si>
    <t>科学运动建议</t>
  </si>
  <si>
    <t>PDF 仅提“健康建议”，未列科学运动建议、运动计划</t>
  </si>
  <si>
    <t>加入</t>
  </si>
  <si>
    <t>运动计划</t>
  </si>
  <si>
    <t>情绪关怀</t>
  </si>
  <si>
    <t>心情打卡</t>
  </si>
  <si>
    <t>每日心情</t>
  </si>
  <si>
    <t>PDF 仅提“情绪关怀”页面，未列心情打卡、好心情天数、情绪研判</t>
  </si>
  <si>
    <t>好心情天数</t>
  </si>
  <si>
    <t>情绪研判</t>
  </si>
  <si>
    <t>分析</t>
  </si>
  <si>
    <t>低落原因</t>
  </si>
  <si>
    <t>小象陪伴情况</t>
  </si>
  <si>
    <t>一键关怀</t>
  </si>
  <si>
    <t>聊天</t>
  </si>
  <si>
    <t>§1.3 家庭提醒与需关注事项、§8 照护告警与消息</t>
  </si>
  <si>
    <t>PDF 仅提“提醒她/提醒长辈”弹窗（视频通话或语音留言），未列一键关怀的聊天、惊喜、歌曲点播</t>
  </si>
  <si>
    <t>视频</t>
  </si>
  <si>
    <t>发送</t>
  </si>
  <si>
    <t>惊喜</t>
  </si>
  <si>
    <t>点播</t>
  </si>
  <si>
    <t>歌曲</t>
  </si>
  <si>
    <t>健康计划</t>
  </si>
  <si>
    <t>计划列表</t>
  </si>
  <si>
    <t>进行中与已完成的照护计划</t>
  </si>
  <si>
    <t>PDF：健康计划——计划列表、计划详情及打卡相关页面</t>
  </si>
  <si>
    <t>计划详情</t>
  </si>
  <si>
    <t>计划目标</t>
  </si>
  <si>
    <t>PDF 仅提“计划详情”，未列计划目标、周期、完成度、协作成员</t>
  </si>
  <si>
    <t>计划周期</t>
  </si>
  <si>
    <t>完成度</t>
  </si>
  <si>
    <t>协作成员</t>
  </si>
  <si>
    <t>每日任务</t>
  </si>
  <si>
    <t>测量任务</t>
  </si>
  <si>
    <t>PDF 仅提“打卡相关页面”，未列测量/服药/饮食/散步任务</t>
  </si>
  <si>
    <t>服药任务</t>
  </si>
  <si>
    <t>饮食任务</t>
  </si>
  <si>
    <t>散步任务</t>
  </si>
  <si>
    <t>健康日志</t>
  </si>
  <si>
    <t>连续记录</t>
  </si>
  <si>
    <t>每日计划完成情况</t>
  </si>
  <si>
    <t>PDF 仅提“照护日志/活动记录：查看照护事项记录”，未列连续记录、勋章进度</t>
  </si>
  <si>
    <t>勋章进度</t>
  </si>
  <si>
    <t>新增日志</t>
  </si>
  <si>
    <t>供家人共享的照护记录</t>
  </si>
  <si>
    <t>PDF 未列新增日志</t>
  </si>
  <si>
    <t>康复训练</t>
  </si>
  <si>
    <t>康复方案</t>
  </si>
  <si>
    <t>训练阶段</t>
  </si>
  <si>
    <t>PDF 仅提“运动/康复训练”，未列训练阶段</t>
  </si>
  <si>
    <t>训练目标</t>
  </si>
  <si>
    <t>PDF 仅提“运动/康复训练”，未列训练目标</t>
  </si>
  <si>
    <t>康复师方案</t>
  </si>
  <si>
    <t>PDF 仅提“运动/康复训练”，未列康复师方案</t>
  </si>
  <si>
    <t>跟练记录</t>
  </si>
  <si>
    <t>训练完成次数</t>
  </si>
  <si>
    <t>PDF 仅提“运动/康复训练”，未列训练完成次数</t>
  </si>
  <si>
    <t>训练项目</t>
  </si>
  <si>
    <t>PDF 仅提“运动/康复训练”，未列训练项目</t>
  </si>
  <si>
    <t>康复师评估</t>
  </si>
  <si>
    <t>康复评估结果</t>
  </si>
  <si>
    <t>PDF 仅提“运动/康复训练”，未列康复评估结果</t>
  </si>
  <si>
    <t>下次评估时间</t>
  </si>
  <si>
    <t>PDF 仅提“运动/康复训练”，未列下次评估时间</t>
  </si>
  <si>
    <t>居家安全</t>
  </si>
  <si>
    <t>安全评分</t>
  </si>
  <si>
    <t>居家安全状态</t>
  </si>
  <si>
    <t>PDF 仅提“居家安全：展示居家安全相关状态及详情入口”，未列安全评分</t>
  </si>
  <si>
    <t>安全综合评分</t>
  </si>
  <si>
    <t>PDF 仅提“居家安全：展示居家安全相关状态及详情入口”，未列安全综合评分</t>
  </si>
  <si>
    <t>风险监测</t>
  </si>
  <si>
    <t>监测</t>
  </si>
  <si>
    <t>跌倒</t>
  </si>
  <si>
    <t>PDF 仅提“居家安全：展示居家安全相关状态及详情入口”，未列跌倒</t>
  </si>
  <si>
    <t>燃气用电</t>
  </si>
  <si>
    <t>PDF 仅提“居家安全：展示居家安全相关状态及详情入口”，未列燃气用电</t>
  </si>
  <si>
    <t>门窗</t>
  </si>
  <si>
    <t>PDF 仅提“居家安全：展示居家安全相关状态及详情入口”，未列门窗</t>
  </si>
  <si>
    <t>夜间离床</t>
  </si>
  <si>
    <t>PDF 仅提“居家安全：展示居家安全相关状态及详情入口”，未列夜间离床</t>
  </si>
  <si>
    <t>设备状态</t>
  </si>
  <si>
    <t>跌倒监测设备状态</t>
  </si>
  <si>
    <t>PDF 仅提“居家安全：展示居家安全相关状态及详情入口”，未列跌倒监测设备状态</t>
  </si>
  <si>
    <t>门磁设备状态</t>
  </si>
  <si>
    <t>PDF 仅提“居家安全：展示居家安全相关状态及详情入口”，未列门磁设备状态</t>
  </si>
  <si>
    <t>燃气设备状态</t>
  </si>
  <si>
    <t>PDF 仅提“居家安全：展示居家安全相关状态及详情入口”，未列燃气设备状态</t>
  </si>
  <si>
    <t>离床设备状态</t>
  </si>
  <si>
    <t>PDF 仅提“居家安全：展示居家安全相关状态及详情入口”，未列离床设备状态</t>
  </si>
  <si>
    <t>安全事件</t>
  </si>
  <si>
    <t>PDF 仅提“居家安全：展示居家安全相关状态及详情入口”，未列安全事件</t>
  </si>
  <si>
    <t>处置记录</t>
  </si>
  <si>
    <t>PDF 仅提“居家安全：展示居家安全相关状态及详情入口”，未列处置记录</t>
  </si>
  <si>
    <t>AI 小象</t>
  </si>
  <si>
    <t>AI 健康顾问</t>
  </si>
  <si>
    <t>异常研判</t>
  </si>
  <si>
    <t>解释</t>
  </si>
  <si>
    <t>健康异常</t>
  </si>
  <si>
    <t>§3 AI Tab 与 AI 健康顾问、§1.3 家庭提醒与需关注事项</t>
  </si>
  <si>
    <t>PDF：AI 深度解读流程——异常研判</t>
  </si>
  <si>
    <t>判断</t>
  </si>
  <si>
    <t>异常优先级</t>
  </si>
  <si>
    <t>PDF 未列异常优先级判断</t>
  </si>
  <si>
    <t>继续问小象</t>
  </si>
  <si>
    <t>咨询</t>
  </si>
  <si>
    <t>健康问题</t>
  </si>
  <si>
    <t>PDF：常见健康问题快捷提问；可继续提问</t>
  </si>
  <si>
    <t>饮食问题</t>
  </si>
  <si>
    <t>PDF 仅提“常见健康问题快捷提问”，未明确饮食、用药问题</t>
  </si>
  <si>
    <t>用药问题</t>
  </si>
  <si>
    <t>AI 照护协同</t>
  </si>
  <si>
    <t>长者选择</t>
  </si>
  <si>
    <t>选择</t>
  </si>
  <si>
    <t>需要联系或照护的长者</t>
  </si>
  <si>
    <t>PDF：支持选择需要关注的长辈</t>
  </si>
  <si>
    <t>视频／语音联系</t>
  </si>
  <si>
    <t>PDF：视频通话快捷联系入口</t>
  </si>
  <si>
    <t>语音留言</t>
  </si>
  <si>
    <t>PDF：语音留言快捷联系入口</t>
  </si>
  <si>
    <t>代发提醒</t>
  </si>
  <si>
    <t>询问</t>
  </si>
  <si>
    <t>吃药情况</t>
  </si>
  <si>
    <t>PDF 仅提“漏服药提醒/提醒长辈”，未列代发提醒询问吃药、睡眠、身体状况</t>
  </si>
  <si>
    <t>睡眠情况</t>
  </si>
  <si>
    <t>身体状况</t>
  </si>
  <si>
    <t>照护待办</t>
  </si>
  <si>
    <t>每日照护任务</t>
  </si>
  <si>
    <t>—（PDF 未提及）</t>
  </si>
  <si>
    <t>PDF 的 AI Tab 未提及照护待办</t>
  </si>
  <si>
    <t>完成</t>
  </si>
  <si>
    <t>照护节奏</t>
  </si>
  <si>
    <t>早间照护安排</t>
  </si>
  <si>
    <t>PDF 未提及照护节奏（早/午/晚间照护安排）</t>
  </si>
  <si>
    <t>午间照护安排</t>
  </si>
  <si>
    <t>晚间照护安排</t>
  </si>
  <si>
    <t>智能形象</t>
  </si>
  <si>
    <t>智伴切换</t>
  </si>
  <si>
    <t>更换智伴形象</t>
  </si>
  <si>
    <t>PDF 未提及智伴形象切换</t>
  </si>
  <si>
    <t>智能问答</t>
  </si>
  <si>
    <t>健康顾问</t>
  </si>
  <si>
    <t>小象在线状态</t>
  </si>
  <si>
    <t>PDF 仅提“小象问答入口”，未列在线状态、陪伴天数、服务说明</t>
  </si>
  <si>
    <t>陪伴天数</t>
  </si>
  <si>
    <t>服务说明</t>
  </si>
  <si>
    <t>语音对话</t>
  </si>
  <si>
    <t>点击麦克风发起语音提问</t>
  </si>
  <si>
    <t>PDF 仅提“小象问答入口、常见健康问题快捷提问”，未列语音/文字对话、猜你想问</t>
  </si>
  <si>
    <t>文字对话</t>
  </si>
  <si>
    <t>输入</t>
  </si>
  <si>
    <t>生活问题</t>
  </si>
  <si>
    <t>文字问题</t>
  </si>
  <si>
    <t>猜你想问</t>
  </si>
  <si>
    <t>快捷问题</t>
  </si>
  <si>
    <t>更换</t>
  </si>
  <si>
    <t>推荐问题</t>
  </si>
  <si>
    <t>AI 健康能力</t>
  </si>
  <si>
    <t>AI 面诊</t>
  </si>
  <si>
    <t>PDF 未提及 AI 面诊、AI 舌诊</t>
  </si>
  <si>
    <t>AI 舌诊</t>
  </si>
  <si>
    <t>体质</t>
  </si>
  <si>
    <t>报告解读</t>
  </si>
  <si>
    <t>上传</t>
  </si>
  <si>
    <t>体检报告</t>
  </si>
  <si>
    <t>PDF 未提及报告解读、拍照识别</t>
  </si>
  <si>
    <t>AI 报告解读</t>
  </si>
  <si>
    <t>拍照识别</t>
  </si>
  <si>
    <t>拍摄</t>
  </si>
  <si>
    <t>报告图片</t>
  </si>
  <si>
    <t>报告图片识别结果</t>
  </si>
  <si>
    <t>健康档案</t>
  </si>
  <si>
    <t>打开</t>
  </si>
  <si>
    <t>长者健康档案</t>
  </si>
  <si>
    <t>PDF 的 AI Tab 未提及引用健康档案（长辈档案见 §9）</t>
  </si>
  <si>
    <t>引用</t>
  </si>
  <si>
    <t>健康档案咨询参考</t>
  </si>
  <si>
    <t>对话管理</t>
  </si>
  <si>
    <t>清空对话</t>
  </si>
  <si>
    <t>清除</t>
  </si>
  <si>
    <t>当前对话记录</t>
  </si>
  <si>
    <t>PDF 未提及清空对话</t>
  </si>
  <si>
    <t>服务</t>
  </si>
  <si>
    <t>服务推荐</t>
  </si>
  <si>
    <t>推荐服务</t>
  </si>
  <si>
    <t>体检推荐</t>
  </si>
  <si>
    <t>§4 服务 Tab</t>
  </si>
  <si>
    <t>PDF 仅提“浏览面向长辈的推荐服务…入口”，未列体检推荐</t>
  </si>
  <si>
    <t>挂号推荐</t>
  </si>
  <si>
    <t>PDF 仅提“浏览面向长辈的推荐服务…入口”，未列挂号推荐</t>
  </si>
  <si>
    <t>陪诊推荐</t>
  </si>
  <si>
    <t>PDF 仅提“浏览面向长辈的推荐服务…入口”，未列陪诊推荐</t>
  </si>
  <si>
    <t>资料整理推荐</t>
  </si>
  <si>
    <t>PDF 仅提“浏览面向长辈的推荐服务…入口”，未列资料整理推荐</t>
  </si>
  <si>
    <t>代买药推荐</t>
  </si>
  <si>
    <t>PDF 仅提“浏览面向长辈的推荐服务…入口”，未列代买药推荐</t>
  </si>
  <si>
    <t>医疗服务</t>
  </si>
  <si>
    <t>医院代挂号</t>
  </si>
  <si>
    <t>预约</t>
  </si>
  <si>
    <t>医院</t>
  </si>
  <si>
    <t>PDF 仅提“代办服务入口”，未列代挂号医院选择；§11 注明下单、服务预约仅为原型交互</t>
  </si>
  <si>
    <t>科室</t>
  </si>
  <si>
    <t>PDF 仅提“代办服务入口”，未列代挂号科室选择；§11 注明下单、服务预约仅为原型交互</t>
  </si>
  <si>
    <t>医生</t>
  </si>
  <si>
    <t>PDF 仅提“代办服务入口”，未列代挂号医生选择；§11 注明下单、服务预约仅为原型交互</t>
  </si>
  <si>
    <t>陪诊服务</t>
  </si>
  <si>
    <t>处理</t>
  </si>
  <si>
    <t>取号</t>
  </si>
  <si>
    <t>PDF 仅提“代办服务入口”，未列陪诊取号环节；§11 注明下单、服务预约仅为原型交互</t>
  </si>
  <si>
    <t>缴费</t>
  </si>
  <si>
    <t>PDF 仅提“代办服务入口”，未列陪诊缴费环节；§11 注明下单、服务预约仅为原型交互</t>
  </si>
  <si>
    <t>取药</t>
  </si>
  <si>
    <t>PDF 仅提“代办服务入口”，未列陪诊取药环节；§11 注明下单、服务预约仅为原型交互</t>
  </si>
  <si>
    <t>记录</t>
  </si>
  <si>
    <t>医嘱</t>
  </si>
  <si>
    <t>PDF 仅提“代办服务入口”，未列陪诊医嘱环节；§11 注明下单、服务预约仅为原型交互</t>
  </si>
  <si>
    <t>复诊资料整理</t>
  </si>
  <si>
    <t>汇总</t>
  </si>
  <si>
    <t>近期健康指标供医生查看</t>
  </si>
  <si>
    <t>PDF 仅提“待安排服务、资料完善提示”，未列复诊资料整理；§11 注明下单、服务预约仅为原型交互</t>
  </si>
  <si>
    <t>药品服务</t>
  </si>
  <si>
    <t>慢病药品代买</t>
  </si>
  <si>
    <t>代购</t>
  </si>
  <si>
    <t>处方药</t>
  </si>
  <si>
    <t>PDF 未列慢病药品代买与配送跟踪；§11 注明下单、服务预约仅为原型交互</t>
  </si>
  <si>
    <t>跟踪</t>
  </si>
  <si>
    <t>配送送达</t>
  </si>
  <si>
    <t>上门服务</t>
  </si>
  <si>
    <t>居家保洁</t>
  </si>
  <si>
    <t>安排</t>
  </si>
  <si>
    <t>护工上门保洁服务</t>
  </si>
  <si>
    <t>PDF 未列居家保洁上门服务；§11 注明下单、服务预约仅为原型交互</t>
  </si>
  <si>
    <t>营养订餐</t>
  </si>
  <si>
    <t>个性化配餐</t>
  </si>
  <si>
    <t>推荐</t>
  </si>
  <si>
    <t>低盐餐食</t>
  </si>
  <si>
    <t>PDF 仅提“营养饮食”内容页，未列低盐餐食；§11 注明下单、服务预约仅为原型交互</t>
  </si>
  <si>
    <t>低糖餐食</t>
  </si>
  <si>
    <t>PDF 仅提“营养饮食”内容页，未列低糖餐食；§11 注明下单、服务预约仅为原型交互</t>
  </si>
  <si>
    <t>软食餐食</t>
  </si>
  <si>
    <t>PDF 仅提“营养饮食”内容页，未列软食餐食；§11 注明下单、服务预约仅为原型交互</t>
  </si>
  <si>
    <t>每日送餐</t>
  </si>
  <si>
    <t>早餐配送状态</t>
  </si>
  <si>
    <t>PDF 仅提“营养饮食”，未列每日送餐配送状态；§11 注明下单、服务预约仅为原型交互</t>
  </si>
  <si>
    <t>午餐配送状态</t>
  </si>
  <si>
    <t>晚餐配送状态</t>
  </si>
  <si>
    <t>套餐续订</t>
  </si>
  <si>
    <t>续订</t>
  </si>
  <si>
    <t>周餐</t>
  </si>
  <si>
    <t>PDF 未列套餐续订；§11 注明下单、服务预约仅为原型交互</t>
  </si>
  <si>
    <t>添加</t>
  </si>
  <si>
    <t>营养餐品</t>
  </si>
  <si>
    <t>服务订单</t>
  </si>
  <si>
    <t>我的代办</t>
  </si>
  <si>
    <t>挂号服务进度</t>
  </si>
  <si>
    <t>PDF 仅提“代办事项”，未列挂号/购药/保洁进度跟踪；§11 注明下单、服务预约仅为原型交互</t>
  </si>
  <si>
    <t>购药服务进度</t>
  </si>
  <si>
    <t>保洁服务进度</t>
  </si>
  <si>
    <t>服务保障</t>
  </si>
  <si>
    <t>人员认证</t>
  </si>
  <si>
    <t>PDF 仅提“服务保障说明”，未列人员认证、取消规则、服务留痕；§11 注明下单、服务预约仅为原型交互</t>
  </si>
  <si>
    <t>取消规则</t>
  </si>
  <si>
    <t>服务留痕</t>
  </si>
  <si>
    <t>PDF 仅提“服务保障说明”，未列人员认证、取消规则、服务留痕</t>
  </si>
  <si>
    <t>乐活商城</t>
  </si>
  <si>
    <t>门店与检索</t>
  </si>
  <si>
    <t>门店切换</t>
  </si>
  <si>
    <t>切换</t>
  </si>
  <si>
    <t>服务站点／门店</t>
  </si>
  <si>
    <t>PDF 全文无商城/电商/商品相关描述，整个一级模块缺失</t>
  </si>
  <si>
    <t>本地可用服务</t>
  </si>
  <si>
    <t>商品搜索</t>
  </si>
  <si>
    <t>搜索</t>
  </si>
  <si>
    <t>康养服务</t>
  </si>
  <si>
    <t>商品</t>
  </si>
  <si>
    <t>课程</t>
  </si>
  <si>
    <t>精选推荐</t>
  </si>
  <si>
    <t>今日推荐</t>
  </si>
  <si>
    <t>理疗服务</t>
  </si>
  <si>
    <t>营养配餐</t>
  </si>
  <si>
    <t>体检服务</t>
  </si>
  <si>
    <t>场景服务</t>
  </si>
  <si>
    <t>主题活动</t>
  </si>
  <si>
    <t>慢病守护专区</t>
  </si>
  <si>
    <t>康复照护专区</t>
  </si>
  <si>
    <t>银发餐桌专区</t>
  </si>
  <si>
    <t>乐龄生活专区</t>
  </si>
  <si>
    <t>安心适老专区</t>
  </si>
  <si>
    <t>居家照护</t>
  </si>
  <si>
    <t>选购</t>
  </si>
  <si>
    <t>居家照护服务</t>
  </si>
  <si>
    <t>康复护理服务</t>
  </si>
  <si>
    <t>健康监测服务</t>
  </si>
  <si>
    <t>安宁疗护服务</t>
  </si>
  <si>
    <t>适老产品</t>
  </si>
  <si>
    <t>浏览</t>
  </si>
  <si>
    <t>辅具租赁</t>
  </si>
  <si>
    <t>适老辅具</t>
  </si>
  <si>
    <t>监测设备</t>
  </si>
  <si>
    <t>护理耗材</t>
  </si>
  <si>
    <t>安全康养产品</t>
  </si>
  <si>
    <t>康养活动</t>
  </si>
  <si>
    <t>日间照料服务</t>
  </si>
  <si>
    <t>康复理疗服务</t>
  </si>
  <si>
    <t>体检慢病服务</t>
  </si>
  <si>
    <t>认知照护服务</t>
  </si>
  <si>
    <t>康养学堂服务</t>
  </si>
  <si>
    <t>热门推荐</t>
  </si>
  <si>
    <t>热门理疗服务</t>
  </si>
  <si>
    <t>热门筛查服务</t>
  </si>
  <si>
    <t>热门订餐服务</t>
  </si>
  <si>
    <t>热门兴趣课程</t>
  </si>
  <si>
    <t>热门日间照料服务</t>
  </si>
  <si>
    <t>营销权益</t>
  </si>
  <si>
    <t>服务券领取</t>
  </si>
  <si>
    <t>领取</t>
  </si>
  <si>
    <t>服务满减券等优惠权益</t>
  </si>
  <si>
    <t>商品浏览</t>
  </si>
  <si>
    <t>履约方式筛选</t>
  </si>
  <si>
    <t>筛选</t>
  </si>
  <si>
    <t>到店服务</t>
  </si>
  <si>
    <t>到家服务</t>
  </si>
  <si>
    <t>邮寄到家</t>
  </si>
  <si>
    <t>商品详情</t>
  </si>
  <si>
    <t>服务时长</t>
  </si>
  <si>
    <t>适用说明</t>
  </si>
  <si>
    <t>距离</t>
  </si>
  <si>
    <t>销量</t>
  </si>
  <si>
    <t>内容服务</t>
  </si>
  <si>
    <t>康养广播站</t>
  </si>
  <si>
    <t>康养视频</t>
  </si>
  <si>
    <t>优惠资讯</t>
  </si>
  <si>
    <t>活动资讯</t>
  </si>
  <si>
    <t>我的</t>
  </si>
  <si>
    <t>长者档案</t>
  </si>
  <si>
    <t>基本信息</t>
  </si>
  <si>
    <t>§9 计划、用药与其他照护页面、§5 我的 Tab</t>
  </si>
  <si>
    <t>PDF：长辈档案——查看长辈健康与基本资料；健康档案入口</t>
  </si>
  <si>
    <t>病史</t>
  </si>
  <si>
    <t>PDF 仅提“长辈健康与基本资料”，未列病史、医保、过敏、用药禁忌</t>
  </si>
  <si>
    <t>医保信息</t>
  </si>
  <si>
    <t>过敏信息</t>
  </si>
  <si>
    <t>用药禁忌</t>
  </si>
  <si>
    <t>报告影像</t>
  </si>
  <si>
    <t>PDF 未列报告影像（体检报告、化验、骨密度、影像资料）</t>
  </si>
  <si>
    <t>化验资料</t>
  </si>
  <si>
    <t>骨密度资料</t>
  </si>
  <si>
    <t>影像资料</t>
  </si>
  <si>
    <t>档案编辑</t>
  </si>
  <si>
    <t>完善长者健康档案信息</t>
  </si>
  <si>
    <t>§4 服务 Tab、§5 我的 Tab</t>
  </si>
  <si>
    <t>PDF 仅提“资料完善提示”，未列档案编辑</t>
  </si>
  <si>
    <t>家庭管理</t>
  </si>
  <si>
    <t>家人管理</t>
  </si>
  <si>
    <t>管理员</t>
  </si>
  <si>
    <t>§5 我的 Tab</t>
  </si>
  <si>
    <t>PDF 仅提“家人管理”入口，未列管理员</t>
  </si>
  <si>
    <t>家庭成员</t>
  </si>
  <si>
    <t>PDF 仅提“家人管理”入口，未列家庭成员</t>
  </si>
  <si>
    <t>护工</t>
  </si>
  <si>
    <t>PDF 仅提“家人管理”入口，未列护工</t>
  </si>
  <si>
    <t>角色权限</t>
  </si>
  <si>
    <t>PDF 仅提“家人管理”入口，未列角色权限</t>
  </si>
  <si>
    <t>邀请成员</t>
  </si>
  <si>
    <t>邀请家属或服务人员加入共同照护</t>
  </si>
  <si>
    <t>PDF 未列邀请成员</t>
  </si>
  <si>
    <t>设备管理</t>
  </si>
  <si>
    <t>已连接设备</t>
  </si>
  <si>
    <t>血压计连接状态</t>
  </si>
  <si>
    <t>PDF 仅提“设备管理：查看设备状态”，未列血压计连接状态</t>
  </si>
  <si>
    <t>血糖仪连接状态</t>
  </si>
  <si>
    <t>PDF 仅提“设备管理：查看设备状态”，未列血糖仪连接状态</t>
  </si>
  <si>
    <t>手环连接状态</t>
  </si>
  <si>
    <t>PDF 仅提“设备管理：查看设备状态”，未列手环连接状态</t>
  </si>
  <si>
    <t>体重秤连接状态</t>
  </si>
  <si>
    <t>PDF：智能体重秤配对演示；§11 注明智能体重秤配对为原型演示</t>
  </si>
  <si>
    <t>添加设备</t>
  </si>
  <si>
    <t>连接新的健康监测设备</t>
  </si>
  <si>
    <t>PDF：提供添加设备；§11 注明智能体重秤配对为原型演示</t>
  </si>
  <si>
    <t>地址管理</t>
  </si>
  <si>
    <t>常用地址</t>
  </si>
  <si>
    <t>长者住址</t>
  </si>
  <si>
    <t>PDF 仅提“查看已保存地址，并提供添加、修改入口”，未分类；且 §11 注明地址编辑仅为原型演示</t>
  </si>
  <si>
    <t>家属住址</t>
  </si>
  <si>
    <t>就医地址</t>
  </si>
  <si>
    <t>告警中心</t>
  </si>
  <si>
    <t>待处理告警</t>
  </si>
  <si>
    <t>紧急告警</t>
  </si>
  <si>
    <t>§8 照护告警与消息</t>
  </si>
  <si>
    <t>PDF：汇总待处理告警、紧急事项…</t>
  </si>
  <si>
    <t>需关注告警</t>
  </si>
  <si>
    <t>PDF：需关注事项</t>
  </si>
  <si>
    <t>已处理告警</t>
  </si>
  <si>
    <t>PDF：已处理记录</t>
  </si>
  <si>
    <t>告警处置</t>
  </si>
  <si>
    <t>异常事项</t>
  </si>
  <si>
    <t>PDF：提供查看健康详情…等后续入口</t>
  </si>
  <si>
    <t>提醒</t>
  </si>
  <si>
    <t>服药</t>
  </si>
  <si>
    <t>PDF 仅提“提醒长辈”，未明确服药提醒动作</t>
  </si>
  <si>
    <t>PDF：查看睡眠</t>
  </si>
  <si>
    <t>告警规则</t>
  </si>
  <si>
    <t>血压阈值</t>
  </si>
  <si>
    <t>设置</t>
  </si>
  <si>
    <t>血压超阈值提醒</t>
  </si>
  <si>
    <t>PDF：血压超阈值提醒规则；§11 注明告警阈值配置不应视为已连接生产后台</t>
  </si>
  <si>
    <t>漏服药提醒</t>
  </si>
  <si>
    <t>用药超时提醒</t>
  </si>
  <si>
    <t>PDF：漏服药提醒规则；§11 注明告警阈值配置不应视为已连接生产后台</t>
  </si>
  <si>
    <t>跌倒／久未活动</t>
  </si>
  <si>
    <t>安全风险通知规则</t>
  </si>
  <si>
    <t>PDF：跌倒/久未活动提醒规则；§11 注明告警阈值配置不应视为已连接生产后台</t>
  </si>
  <si>
    <t>数据断连提醒</t>
  </si>
  <si>
    <t>数据长时间未上传提醒</t>
  </si>
  <si>
    <t>PDF：数据长时间未上传提醒规则；§11 注明告警阈值配置不应视为已连接生产后台</t>
  </si>
  <si>
    <t>家庭日历</t>
  </si>
  <si>
    <t>照护日程</t>
  </si>
  <si>
    <t>医疗安排</t>
  </si>
  <si>
    <t>§6 家庭日历与照护日程</t>
  </si>
  <si>
    <t>PDF：分类展示医疗安排、上门服务和家人值班/探望计划</t>
  </si>
  <si>
    <t>上门服务安排</t>
  </si>
  <si>
    <t>家人探望安排</t>
  </si>
  <si>
    <t>新增安排</t>
  </si>
  <si>
    <t>就诊安排</t>
  </si>
  <si>
    <t>PDF：新增安排可选就诊、复诊、用药、测量、上门、陪诊、生日或其他（含就诊）</t>
  </si>
  <si>
    <t>用药安排</t>
  </si>
  <si>
    <t>PDF：新增安排可选就诊、复诊、用药、测量、上门、陪诊、生日或其他（含用药）</t>
  </si>
  <si>
    <t>测量安排</t>
  </si>
  <si>
    <t>PDF：新增安排可选就诊、复诊、用药、测量、上门、陪诊、生日或其他（含测量）</t>
  </si>
  <si>
    <t>陪诊安排</t>
  </si>
  <si>
    <t>PDF：新增安排可选就诊、复诊、用药、测量、上门、陪诊、生日或其他（含陪诊）</t>
  </si>
  <si>
    <t>生日安排</t>
  </si>
  <si>
    <t>PDF：新增安排可选就诊、复诊、用药、测量、上门、陪诊、生日或其他（含生日）</t>
  </si>
  <si>
    <t>提醒设置</t>
  </si>
  <si>
    <t>配置</t>
  </si>
  <si>
    <t>提前提醒</t>
  </si>
  <si>
    <t>PDF：可设置提前提醒</t>
  </si>
  <si>
    <t>长者端同步</t>
  </si>
  <si>
    <t>PDF：同步至长辈端</t>
  </si>
  <si>
    <t>家属通知</t>
  </si>
  <si>
    <t>PDF：是否通知其他家属</t>
  </si>
  <si>
    <t>账单管理</t>
  </si>
  <si>
    <t>照护账单</t>
  </si>
  <si>
    <t>本月照护支出</t>
  </si>
  <si>
    <t>PDF 仅提“照护账单：查看照护服务账单相关页面”，未列支出、类别占比、逐笔明细</t>
  </si>
  <si>
    <t>类别占比</t>
  </si>
  <si>
    <t>逐笔明细</t>
  </si>
  <si>
    <t>通知方式</t>
  </si>
  <si>
    <t>App 通知</t>
  </si>
  <si>
    <t>PDF 仅提“通知方式”入口，未区分 App 通知、短信通知</t>
  </si>
  <si>
    <t>短信通知</t>
  </si>
  <si>
    <t>免打扰时段</t>
  </si>
  <si>
    <t>夜间免打扰时间</t>
  </si>
  <si>
    <t>PDF：免打扰时段</t>
  </si>
  <si>
    <t>隐私与授权</t>
  </si>
  <si>
    <t>隐私数据</t>
  </si>
  <si>
    <t>PDF：隐私与数据授权</t>
  </si>
  <si>
    <t>数据授权</t>
  </si>
  <si>
    <t>照护周报订阅</t>
  </si>
  <si>
    <t>周报自动生成</t>
  </si>
  <si>
    <t>PDF：照护周报订阅</t>
  </si>
  <si>
    <t>周报推送</t>
  </si>
  <si>
    <t>账号与安全</t>
  </si>
  <si>
    <t>绑定手机号</t>
  </si>
  <si>
    <t>PDF 仅提“账号安全”，未列绑定手机号</t>
  </si>
  <si>
    <t>账户安全</t>
  </si>
  <si>
    <t>PDF：账号安全</t>
  </si>
  <si>
    <t>帮助与反馈</t>
  </si>
  <si>
    <t>获取</t>
  </si>
  <si>
    <t>客服支持</t>
  </si>
  <si>
    <t>PDF：帮助反馈和应用信息入口</t>
  </si>
  <si>
    <t>帮助信息</t>
  </si>
  <si>
    <t>产品版本信息</t>
  </si>
  <si>
    <t>合计</t>
  </si>
  <si>
    <t>—</t>
  </si>
  <si>
    <t>共 287 条功能点</t>
  </si>
  <si>
    <t>家属端功能点 · PDF 出处核对汇总</t>
  </si>
  <si>
    <t>原始资料：《家属端功能清单.pdf》（共 3 页、11 节）；核对对象：家属端.xlsx「功能点测算表」共 287 条功能点</t>
  </si>
  <si>
    <t>功能点数</t>
  </si>
  <si>
    <t>无出处</t>
  </si>
  <si>
    <t>有出处占比</t>
  </si>
  <si>
    <t>63%</t>
  </si>
  <si>
    <t>5%</t>
  </si>
  <si>
    <t>13%</t>
  </si>
  <si>
    <t>0%</t>
  </si>
  <si>
    <t>47%</t>
  </si>
  <si>
    <t>20%</t>
  </si>
  <si>
    <t>判定口径</t>
  </si>
  <si>
    <t>有出处：PDF 文字直接点名该功能点或其核心内容。</t>
  </si>
  <si>
    <t>部分出处：PDF 仅写到模块层（如“用药管理：用药记录和用药提醒相关页面”），具体动作/字段未列明，需另行确认。</t>
  </si>
  <si>
    <t>无出处：PDF 全文无对应描述，属 Excel 自行扩展的内容，建议补充依据或标注为待确认范围。</t>
  </si>
  <si>
    <t>需重点关注的差异</t>
  </si>
  <si>
    <t>1. 乐活商城（序号 221–265，共 45 条）在 PDF 中完全没有对应描述，属整块新增内容。</t>
  </si>
  <si>
    <t>1b. 服务 Tab（30 条）在 PDF 中仅一句“浏览面向长辈的推荐服务和代办服务入口”，全部为部分出处，无一条被点名。</t>
  </si>
  <si>
    <t>2. AI 小象的 AI 面诊、AI 舌诊、报告解读、拍照识别、智伴切换、照护待办、照护节奏（共 17 条）PDF 未提及。</t>
  </si>
  <si>
    <t>3. 长护险与补贴、适老改造建议、数据导出、数据共享规则、长者隐私设置（共 13 条）PDF 未提及。</t>
  </si>
  <si>
    <t>4. PDF §11 明确：添加/编辑地址、下单、服务预约、告警阈值配置等仅为原型交互，不应视为已连接生产后台；</t>
  </si>
  <si>
    <t xml:space="preserve">   通话、语音留言、真实设备数据、医疗服务履约、后台告警能力需以实际集成情况为准。</t>
  </si>
  <si>
    <t>5. 已顺带修复原表公式问题：J 列「按二级功能工时」与「测算依据」合计原引用范围仅到 145 行，</t>
  </si>
  <si>
    <t xml:space="preserve">   遗漏 146–288 行（服务、乐活商城、我的），现统一扩到 288 行。</t>
  </si>
  <si>
    <t>功能点测算依据</t>
  </si>
  <si>
    <t>参数</t>
  </si>
  <si>
    <t>取值／说明</t>
  </si>
  <si>
    <t>政策文件</t>
  </si>
  <si>
    <t>《山东省省级政务信息化建设项目支出预算限额标准（试行）》</t>
  </si>
  <si>
    <t>计数方法</t>
  </si>
  <si>
    <t>估算功能点法：EI=4，EO=5，EQ=4，ILF=10，ELF=7</t>
  </si>
  <si>
    <t>软件开发生产率（人时／功能点）</t>
  </si>
  <si>
    <t>人天折算（人时／人天）</t>
  </si>
  <si>
    <t>低（新建功能默认取值）</t>
  </si>
  <si>
    <t>复用度调整因子</t>
  </si>
  <si>
    <t>规模变更因子</t>
  </si>
  <si>
    <t>正式预算汇总阶段按政策及当年基准数据取值</t>
  </si>
  <si>
    <t>应用类型调整因子</t>
  </si>
  <si>
    <t>正式预算汇总阶段按政策表 2 及应用类型取值</t>
  </si>
  <si>
    <t>人天计算</t>
  </si>
  <si>
    <t>未调整功能点 × 6.71 ÷ 8，按四舍五入取整</t>
  </si>
  <si>
    <t>二级功能工时</t>
  </si>
  <si>
    <t>同一一级功能、二级功能下各功能点人天之和</t>
  </si>
  <si>
    <t>计数边界说明</t>
  </si>
  <si>
    <t>登录、授权、菜单等标准功能不单独计数；正式申报应根据系统边界和数据功能进一步复核。</t>
  </si>
  <si>
    <t>功能点合计</t>
  </si>
  <si>
    <t>人天合计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</si>
</sst>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9">
    <font>
      <sz val="11"/>
      <name val="Carlito"/>
      <charset val="134"/>
    </font>
    <font>
      <b/>
      <sz val="16"/>
      <color rgb="FF1F1F1F"/>
      <name val="Arial"/>
      <charset val="134"/>
    </font>
    <font>
      <b/>
      <sz val="11"/>
      <color rgb="FFFFFFFF"/>
      <name val="Arial"/>
      <charset val="134"/>
    </font>
    <font>
      <sz val="10"/>
      <color rgb="FF1F1F1F"/>
      <name val="Arial"/>
      <charset val="134"/>
    </font>
    <font>
      <b/>
      <sz val="10"/>
      <color rgb="FF1F1F1F"/>
      <name val="Arial"/>
      <charset val="134"/>
    </font>
    <font>
      <b/>
      <sz val="14"/>
      <color rgb="FF1F3864"/>
      <name val="微软雅黑"/>
      <charset val="134"/>
    </font>
    <font>
      <sz val="10"/>
      <color rgb="FF595959"/>
      <name val="微软雅黑"/>
      <charset val="134"/>
    </font>
    <font>
      <b/>
      <sz val="10"/>
      <color rgb="FFFFFFFF"/>
      <name val="微软雅黑"/>
      <charset val="134"/>
    </font>
    <font>
      <sz val="10"/>
      <name val="微软雅黑"/>
      <charset val="134"/>
    </font>
    <font>
      <b/>
      <sz val="10"/>
      <name val="微软雅黑"/>
      <charset val="134"/>
    </font>
    <font>
      <b/>
      <sz val="11"/>
      <color rgb="FF1F3864"/>
      <name val="微软雅黑"/>
      <charset val="134"/>
    </font>
    <font>
      <b/>
      <sz val="11"/>
      <color rgb="FFC00000"/>
      <name val="微软雅黑"/>
      <charset val="134"/>
    </font>
    <font>
      <b/>
      <sz val="12"/>
      <color rgb="FFFFFFFF"/>
      <name val="Arial"/>
      <charset val="134"/>
    </font>
    <font>
      <b/>
      <sz val="11"/>
      <color rgb="FFFFFFFF"/>
      <name val="Carlito"/>
      <charset val="134"/>
    </font>
    <font>
      <sz val="10"/>
      <color rgb="FF1F1F1F"/>
      <name val="宋体-简"/>
      <charset val="134"/>
    </font>
    <font>
      <sz val="10"/>
      <color rgb="FF006100"/>
      <name val="微软雅黑"/>
      <charset val="134"/>
    </font>
    <font>
      <sz val="10"/>
      <color rgb="FF9C5700"/>
      <name val="微软雅黑"/>
      <charset val="134"/>
    </font>
    <font>
      <sz val="10"/>
      <color rgb="FF006100"/>
      <name val="Carlito"/>
      <charset val="134"/>
    </font>
    <font>
      <b/>
      <sz val="11"/>
      <color rgb="FF000000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2A78B9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2F80BD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19" fillId="0" borderId="0">
      <alignment vertical="center"/>
    </xf>
    <xf numFmtId="44" fontId="19" fillId="0" borderId="0">
      <alignment vertical="center"/>
    </xf>
    <xf numFmtId="9" fontId="19" fillId="0" borderId="0">
      <alignment vertical="center"/>
    </xf>
    <xf numFmtId="41" fontId="19" fillId="0" borderId="0">
      <alignment vertical="center"/>
    </xf>
    <xf numFmtId="42" fontId="19" fillId="0" borderId="0">
      <alignment vertical="center"/>
    </xf>
    <xf numFmtId="0" fontId="20" fillId="0" borderId="0">
      <alignment vertical="center"/>
    </xf>
    <xf numFmtId="0" fontId="21" fillId="0" borderId="0">
      <alignment vertical="center"/>
    </xf>
    <xf numFmtId="0" fontId="19" fillId="10" borderId="7">
      <alignment vertical="center"/>
    </xf>
    <xf numFmtId="0" fontId="22" fillId="0" borderId="0">
      <alignment vertical="center"/>
    </xf>
    <xf numFmtId="0" fontId="23" fillId="0" borderId="0">
      <alignment vertical="center"/>
    </xf>
    <xf numFmtId="0" fontId="24" fillId="0" borderId="0">
      <alignment vertical="center"/>
    </xf>
    <xf numFmtId="0" fontId="25" fillId="0" borderId="8">
      <alignment vertical="center"/>
    </xf>
    <xf numFmtId="0" fontId="26" fillId="0" borderId="8">
      <alignment vertical="center"/>
    </xf>
    <xf numFmtId="0" fontId="27" fillId="0" borderId="9">
      <alignment vertical="center"/>
    </xf>
    <xf numFmtId="0" fontId="27" fillId="0" borderId="0">
      <alignment vertical="center"/>
    </xf>
    <xf numFmtId="0" fontId="28" fillId="11" borderId="10">
      <alignment vertical="center"/>
    </xf>
    <xf numFmtId="0" fontId="29" fillId="12" borderId="11">
      <alignment vertical="center"/>
    </xf>
    <xf numFmtId="0" fontId="30" fillId="12" borderId="10">
      <alignment vertical="center"/>
    </xf>
    <xf numFmtId="0" fontId="31" fillId="13" borderId="12">
      <alignment vertical="center"/>
    </xf>
    <xf numFmtId="0" fontId="32" fillId="0" borderId="13">
      <alignment vertical="center"/>
    </xf>
    <xf numFmtId="0" fontId="33" fillId="0" borderId="14">
      <alignment vertical="center"/>
    </xf>
    <xf numFmtId="0" fontId="34" fillId="8" borderId="0">
      <alignment vertical="center"/>
    </xf>
    <xf numFmtId="0" fontId="35" fillId="14" borderId="0">
      <alignment vertical="center"/>
    </xf>
    <xf numFmtId="0" fontId="36" fillId="9" borderId="0">
      <alignment vertical="center"/>
    </xf>
    <xf numFmtId="0" fontId="37" fillId="15" borderId="0">
      <alignment vertical="center"/>
    </xf>
    <xf numFmtId="0" fontId="38" fillId="16" borderId="0">
      <alignment vertical="center"/>
    </xf>
    <xf numFmtId="0" fontId="38" fillId="17" borderId="0">
      <alignment vertical="center"/>
    </xf>
    <xf numFmtId="0" fontId="37" fillId="18" borderId="0">
      <alignment vertical="center"/>
    </xf>
    <xf numFmtId="0" fontId="37" fillId="19" borderId="0">
      <alignment vertical="center"/>
    </xf>
    <xf numFmtId="0" fontId="38" fillId="20" borderId="0">
      <alignment vertical="center"/>
    </xf>
    <xf numFmtId="0" fontId="38" fillId="21" borderId="0">
      <alignment vertical="center"/>
    </xf>
    <xf numFmtId="0" fontId="37" fillId="22" borderId="0">
      <alignment vertical="center"/>
    </xf>
    <xf numFmtId="0" fontId="37" fillId="23" borderId="0">
      <alignment vertical="center"/>
    </xf>
    <xf numFmtId="0" fontId="38" fillId="24" borderId="0">
      <alignment vertical="center"/>
    </xf>
    <xf numFmtId="0" fontId="38" fillId="25" borderId="0">
      <alignment vertical="center"/>
    </xf>
    <xf numFmtId="0" fontId="37" fillId="26" borderId="0">
      <alignment vertical="center"/>
    </xf>
    <xf numFmtId="0" fontId="37" fillId="27" borderId="0">
      <alignment vertical="center"/>
    </xf>
    <xf numFmtId="0" fontId="38" fillId="28" borderId="0">
      <alignment vertical="center"/>
    </xf>
    <xf numFmtId="0" fontId="38" fillId="29" borderId="0">
      <alignment vertical="center"/>
    </xf>
    <xf numFmtId="0" fontId="37" fillId="30" borderId="0">
      <alignment vertical="center"/>
    </xf>
    <xf numFmtId="0" fontId="37" fillId="31" borderId="0">
      <alignment vertical="center"/>
    </xf>
    <xf numFmtId="0" fontId="38" fillId="32" borderId="0">
      <alignment vertical="center"/>
    </xf>
    <xf numFmtId="0" fontId="38" fillId="33" borderId="0">
      <alignment vertical="center"/>
    </xf>
    <xf numFmtId="0" fontId="37" fillId="34" borderId="0">
      <alignment vertical="center"/>
    </xf>
    <xf numFmtId="0" fontId="37" fillId="35" borderId="0">
      <alignment vertical="center"/>
    </xf>
    <xf numFmtId="0" fontId="38" fillId="36" borderId="0">
      <alignment vertical="center"/>
    </xf>
    <xf numFmtId="0" fontId="38" fillId="37" borderId="0">
      <alignment vertical="center"/>
    </xf>
    <xf numFmtId="0" fontId="37" fillId="38" borderId="0">
      <alignment vertical="center"/>
    </xf>
    <xf numFmtId="0" fontId="0" fillId="0" borderId="0"/>
  </cellStyleXfs>
  <cellXfs count="32">
    <xf numFmtId="0" fontId="0" fillId="0" borderId="0" xfId="49"/>
    <xf numFmtId="0" fontId="0" fillId="0" borderId="0" xfId="0" applyAlignment="1"/>
    <xf numFmtId="0" fontId="1" fillId="0" borderId="0" xfId="49" applyFont="1" applyAlignment="1">
      <alignment vertical="center"/>
    </xf>
    <xf numFmtId="0" fontId="2" fillId="2" borderId="0" xfId="49" applyFont="1" applyFill="1" applyAlignment="1">
      <alignment horizontal="center" vertical="center"/>
    </xf>
    <xf numFmtId="0" fontId="3" fillId="0" borderId="1" xfId="49" applyFont="1" applyBorder="1" applyAlignment="1">
      <alignment vertical="center" wrapText="1"/>
    </xf>
    <xf numFmtId="0" fontId="3" fillId="0" borderId="2" xfId="49" applyFont="1" applyBorder="1" applyAlignment="1">
      <alignment vertical="center" wrapText="1"/>
    </xf>
    <xf numFmtId="0" fontId="4" fillId="3" borderId="2" xfId="49" applyFont="1" applyFill="1" applyBorder="1" applyAlignment="1">
      <alignment vertical="center" wrapText="1"/>
    </xf>
    <xf numFmtId="0" fontId="4" fillId="3" borderId="3" xfId="49" applyFont="1" applyFill="1" applyBorder="1" applyAlignment="1">
      <alignment vertical="center" wrapText="1"/>
    </xf>
    <xf numFmtId="0" fontId="5" fillId="0" borderId="0" xfId="0" applyFont="1" applyAlignment="1"/>
    <xf numFmtId="0" fontId="6" fillId="0" borderId="0" xfId="0" applyFont="1" applyAlignment="1"/>
    <xf numFmtId="0" fontId="7" fillId="4" borderId="0" xfId="0" applyFont="1" applyFill="1" applyAlignment="1">
      <alignment horizontal="center" vertical="center"/>
    </xf>
    <xf numFmtId="0" fontId="8" fillId="0" borderId="4" xfId="0" applyFont="1" applyBorder="1" applyAlignment="1">
      <alignment horizontal="left" vertical="center"/>
    </xf>
    <xf numFmtId="0" fontId="8" fillId="0" borderId="4" xfId="0" applyFont="1" applyBorder="1" applyAlignment="1">
      <alignment horizontal="center" vertical="center"/>
    </xf>
    <xf numFmtId="0" fontId="9" fillId="5" borderId="4" xfId="0" applyFont="1" applyFill="1" applyBorder="1" applyAlignment="1">
      <alignment horizontal="left" vertical="center"/>
    </xf>
    <xf numFmtId="0" fontId="9" fillId="5" borderId="4" xfId="0" applyFont="1" applyFill="1" applyBorder="1" applyAlignment="1">
      <alignment horizontal="center" vertical="center"/>
    </xf>
    <xf numFmtId="0" fontId="10" fillId="0" borderId="0" xfId="0" applyFont="1" applyAlignment="1"/>
    <xf numFmtId="0" fontId="8" fillId="0" borderId="0" xfId="0" applyFont="1" applyAlignment="1"/>
    <xf numFmtId="0" fontId="11" fillId="0" borderId="0" xfId="0" applyFont="1" applyAlignment="1"/>
    <xf numFmtId="0" fontId="0" fillId="6" borderId="0" xfId="49" applyFill="1" applyAlignment="1">
      <alignment horizontal="center"/>
    </xf>
    <xf numFmtId="0" fontId="0" fillId="0" borderId="0" xfId="49" applyAlignment="1">
      <alignment horizontal="center"/>
    </xf>
    <xf numFmtId="0" fontId="12" fillId="2" borderId="5" xfId="49" applyFont="1" applyFill="1" applyBorder="1" applyAlignment="1">
      <alignment horizontal="center" vertical="center" wrapText="1"/>
    </xf>
    <xf numFmtId="0" fontId="13" fillId="7" borderId="0" xfId="49" applyFont="1" applyFill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/>
    </xf>
    <xf numFmtId="0" fontId="3" fillId="6" borderId="6" xfId="49" applyFont="1" applyFill="1" applyBorder="1" applyAlignment="1">
      <alignment horizontal="center" vertical="center" wrapText="1"/>
    </xf>
    <xf numFmtId="0" fontId="14" fillId="6" borderId="6" xfId="49" applyFont="1" applyFill="1" applyBorder="1" applyAlignment="1">
      <alignment horizontal="center" vertical="center" wrapText="1"/>
    </xf>
    <xf numFmtId="0" fontId="0" fillId="6" borderId="6" xfId="49" applyFill="1" applyBorder="1" applyAlignment="1">
      <alignment horizontal="center" wrapText="1"/>
    </xf>
    <xf numFmtId="0" fontId="15" fillId="8" borderId="4" xfId="0" applyFont="1" applyFill="1" applyBorder="1" applyAlignment="1">
      <alignment horizontal="center" vertical="center"/>
    </xf>
    <xf numFmtId="0" fontId="8" fillId="0" borderId="4" xfId="0" applyFont="1" applyBorder="1" applyAlignment="1">
      <alignment vertical="center" wrapText="1"/>
    </xf>
    <xf numFmtId="0" fontId="16" fillId="9" borderId="4" xfId="0" applyFont="1" applyFill="1" applyBorder="1" applyAlignment="1">
      <alignment horizontal="center" vertical="center"/>
    </xf>
    <xf numFmtId="0" fontId="0" fillId="6" borderId="6" xfId="49" applyFill="1" applyBorder="1" applyAlignment="1">
      <alignment horizontal="center" vertical="center" wrapText="1"/>
    </xf>
    <xf numFmtId="0" fontId="17" fillId="8" borderId="4" xfId="0" applyFont="1" applyFill="1" applyBorder="1" applyAlignment="1">
      <alignment horizontal="center" vertical="center"/>
    </xf>
    <xf numFmtId="0" fontId="18" fillId="3" borderId="0" xfId="49" applyFont="1" applyFill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9">
    <dxf>
      <fill>
        <patternFill patternType="solid">
          <bgColor rgb="FFF4F8FC"/>
        </patternFill>
      </fill>
    </dxf>
    <dxf>
      <font>
        <b val="1"/>
        <color rgb="FF1F5E9A"/>
      </font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A78B9"/>
  </sheetPr>
  <dimension ref="A1:N274"/>
  <sheetViews>
    <sheetView showGridLines="0" tabSelected="1" workbookViewId="0">
      <pane ySplit="1" topLeftCell="A2" activePane="bottomLeft" state="frozen"/>
      <selection/>
      <selection pane="bottomLeft" activeCell="F78" sqref="F78"/>
    </sheetView>
  </sheetViews>
  <sheetFormatPr defaultColWidth="9" defaultRowHeight="16.8"/>
  <cols>
    <col min="1" max="1" width="8" style="19" customWidth="1"/>
    <col min="2" max="3" width="16" style="19" customWidth="1"/>
    <col min="4" max="4" width="20" style="19" customWidth="1"/>
    <col min="5" max="5" width="16" style="19" customWidth="1"/>
    <col min="6" max="6" width="40" style="19" customWidth="1"/>
    <col min="7" max="7" width="14" style="19" customWidth="1"/>
    <col min="8" max="9" width="10" style="19" customWidth="1"/>
    <col min="10" max="10" width="18" style="19" customWidth="1"/>
    <col min="11" max="11" width="10" style="19" customWidth="1"/>
    <col min="12" max="12" width="11" style="19" customWidth="1"/>
    <col min="13" max="13" width="30" style="1" customWidth="1"/>
    <col min="14" max="14" width="52" style="1" customWidth="1"/>
    <col min="15" max="16384" width="11" style="19" customWidth="1"/>
  </cols>
  <sheetData>
    <row r="1" ht="38" customHeight="1" spans="1:14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20" t="s">
        <v>9</v>
      </c>
      <c r="K1" s="21" t="s">
        <v>10</v>
      </c>
      <c r="L1" s="22" t="s">
        <v>11</v>
      </c>
      <c r="M1" s="22" t="s">
        <v>12</v>
      </c>
      <c r="N1" s="22" t="s">
        <v>13</v>
      </c>
    </row>
    <row r="2" s="18" customFormat="1" ht="18" customHeight="1" spans="1:14">
      <c r="A2" s="23">
        <v>1</v>
      </c>
      <c r="B2" s="24" t="s">
        <v>14</v>
      </c>
      <c r="C2" s="23" t="s">
        <v>15</v>
      </c>
      <c r="D2" s="23" t="s">
        <v>16</v>
      </c>
      <c r="E2" s="23" t="s">
        <v>17</v>
      </c>
      <c r="F2" s="23" t="s">
        <v>18</v>
      </c>
      <c r="G2" s="23" t="s">
        <v>19</v>
      </c>
      <c r="H2" s="23">
        <v>4</v>
      </c>
      <c r="I2" s="23">
        <f>ROUND(H2*测算依据!$B$6/测算依据!$B$7,0)</f>
        <v>3</v>
      </c>
      <c r="J2" s="23">
        <f t="shared" ref="J2:J65" si="0">SUMIFS($I$2:$I$273,$B$2:$B$273,B2,$C$2:$C$273,C2)</f>
        <v>9</v>
      </c>
      <c r="K2" s="25" t="s">
        <v>20</v>
      </c>
      <c r="L2" s="26" t="s">
        <v>21</v>
      </c>
      <c r="M2" s="27" t="s">
        <v>22</v>
      </c>
      <c r="N2" s="27" t="s">
        <v>23</v>
      </c>
    </row>
    <row r="3" s="18" customFormat="1" ht="18" customHeight="1" spans="1:14">
      <c r="A3" s="23">
        <v>2</v>
      </c>
      <c r="B3" s="24" t="s">
        <v>14</v>
      </c>
      <c r="C3" s="23" t="s">
        <v>15</v>
      </c>
      <c r="D3" s="23" t="s">
        <v>24</v>
      </c>
      <c r="E3" s="23" t="s">
        <v>25</v>
      </c>
      <c r="F3" s="23" t="s">
        <v>26</v>
      </c>
      <c r="G3" s="23" t="s">
        <v>19</v>
      </c>
      <c r="H3" s="23">
        <v>4</v>
      </c>
      <c r="I3" s="23">
        <f>ROUND(H3*测算依据!$B$6/测算依据!$B$7,0)</f>
        <v>3</v>
      </c>
      <c r="J3" s="23">
        <f t="shared" si="0"/>
        <v>9</v>
      </c>
      <c r="K3" s="25" t="s">
        <v>20</v>
      </c>
      <c r="L3" s="26" t="s">
        <v>21</v>
      </c>
      <c r="M3" s="27" t="s">
        <v>22</v>
      </c>
      <c r="N3" s="27" t="s">
        <v>27</v>
      </c>
    </row>
    <row r="4" s="18" customFormat="1" ht="18" customHeight="1" spans="1:14">
      <c r="A4" s="23">
        <v>3</v>
      </c>
      <c r="B4" s="24" t="s">
        <v>14</v>
      </c>
      <c r="C4" s="23" t="s">
        <v>15</v>
      </c>
      <c r="D4" s="23" t="s">
        <v>28</v>
      </c>
      <c r="E4" s="23" t="s">
        <v>29</v>
      </c>
      <c r="F4" s="23" t="s">
        <v>30</v>
      </c>
      <c r="G4" s="23" t="s">
        <v>31</v>
      </c>
      <c r="H4" s="23">
        <v>4</v>
      </c>
      <c r="I4" s="23">
        <f>ROUND(H4*测算依据!$B$6/测算依据!$B$7,0)</f>
        <v>3</v>
      </c>
      <c r="J4" s="23">
        <f t="shared" si="0"/>
        <v>9</v>
      </c>
      <c r="K4" s="25" t="s">
        <v>20</v>
      </c>
      <c r="L4" s="26" t="s">
        <v>21</v>
      </c>
      <c r="M4" s="27" t="s">
        <v>22</v>
      </c>
      <c r="N4" s="27" t="s">
        <v>32</v>
      </c>
    </row>
    <row r="5" s="18" customFormat="1" ht="18" customHeight="1" spans="1:14">
      <c r="A5" s="23">
        <v>4</v>
      </c>
      <c r="B5" s="24" t="s">
        <v>14</v>
      </c>
      <c r="C5" s="23" t="s">
        <v>33</v>
      </c>
      <c r="D5" s="23" t="s">
        <v>34</v>
      </c>
      <c r="E5" s="23" t="s">
        <v>29</v>
      </c>
      <c r="F5" s="23" t="s">
        <v>35</v>
      </c>
      <c r="G5" s="23" t="s">
        <v>31</v>
      </c>
      <c r="H5" s="23">
        <v>4</v>
      </c>
      <c r="I5" s="23">
        <f>ROUND(H5*测算依据!$B$6/测算依据!$B$7,0)</f>
        <v>3</v>
      </c>
      <c r="J5" s="23">
        <f t="shared" si="0"/>
        <v>13</v>
      </c>
      <c r="K5" s="25" t="s">
        <v>20</v>
      </c>
      <c r="L5" s="26" t="s">
        <v>21</v>
      </c>
      <c r="M5" s="27" t="s">
        <v>36</v>
      </c>
      <c r="N5" s="27" t="s">
        <v>37</v>
      </c>
    </row>
    <row r="6" s="18" customFormat="1" ht="18" customHeight="1" spans="1:14">
      <c r="A6" s="23">
        <v>5</v>
      </c>
      <c r="B6" s="24" t="s">
        <v>14</v>
      </c>
      <c r="C6" s="23" t="s">
        <v>33</v>
      </c>
      <c r="D6" s="23" t="s">
        <v>34</v>
      </c>
      <c r="E6" s="23" t="s">
        <v>29</v>
      </c>
      <c r="F6" s="24" t="s">
        <v>38</v>
      </c>
      <c r="G6" s="23" t="s">
        <v>31</v>
      </c>
      <c r="H6" s="23">
        <v>4</v>
      </c>
      <c r="I6" s="23">
        <f>ROUND(H6*测算依据!$B$6/测算依据!$B$7,0)</f>
        <v>3</v>
      </c>
      <c r="J6" s="23">
        <f t="shared" si="0"/>
        <v>13</v>
      </c>
      <c r="K6" s="25" t="s">
        <v>20</v>
      </c>
      <c r="L6" s="28" t="s">
        <v>39</v>
      </c>
      <c r="M6" s="27" t="s">
        <v>36</v>
      </c>
      <c r="N6" s="27" t="s">
        <v>40</v>
      </c>
    </row>
    <row r="7" s="18" customFormat="1" ht="18" customHeight="1" spans="1:14">
      <c r="A7" s="23">
        <v>6</v>
      </c>
      <c r="B7" s="24" t="s">
        <v>14</v>
      </c>
      <c r="C7" s="23" t="s">
        <v>33</v>
      </c>
      <c r="D7" s="23" t="s">
        <v>34</v>
      </c>
      <c r="E7" s="23" t="s">
        <v>29</v>
      </c>
      <c r="F7" s="24" t="s">
        <v>41</v>
      </c>
      <c r="G7" s="23" t="s">
        <v>31</v>
      </c>
      <c r="H7" s="23">
        <v>4</v>
      </c>
      <c r="I7" s="23">
        <f>ROUND(H7*测算依据!$B$6/测算依据!$B$7,0)</f>
        <v>3</v>
      </c>
      <c r="J7" s="23">
        <f t="shared" si="0"/>
        <v>13</v>
      </c>
      <c r="K7" s="25" t="s">
        <v>20</v>
      </c>
      <c r="L7" s="28" t="s">
        <v>39</v>
      </c>
      <c r="M7" s="27" t="s">
        <v>36</v>
      </c>
      <c r="N7" s="27" t="s">
        <v>42</v>
      </c>
    </row>
    <row r="8" s="18" customFormat="1" ht="18" customHeight="1" spans="1:14">
      <c r="A8" s="23">
        <v>7</v>
      </c>
      <c r="B8" s="24" t="s">
        <v>14</v>
      </c>
      <c r="C8" s="23" t="s">
        <v>33</v>
      </c>
      <c r="D8" s="23" t="s">
        <v>43</v>
      </c>
      <c r="E8" s="23" t="s">
        <v>29</v>
      </c>
      <c r="F8" s="23" t="s">
        <v>44</v>
      </c>
      <c r="G8" s="23" t="s">
        <v>45</v>
      </c>
      <c r="H8" s="23">
        <v>5</v>
      </c>
      <c r="I8" s="23">
        <f>ROUND(H8*测算依据!$B$6/测算依据!$B$7,0)</f>
        <v>4</v>
      </c>
      <c r="J8" s="23">
        <f t="shared" si="0"/>
        <v>13</v>
      </c>
      <c r="K8" s="25" t="s">
        <v>20</v>
      </c>
      <c r="L8" s="26" t="s">
        <v>21</v>
      </c>
      <c r="M8" s="27" t="s">
        <v>36</v>
      </c>
      <c r="N8" s="27" t="s">
        <v>46</v>
      </c>
    </row>
    <row r="9" s="18" customFormat="1" ht="18" customHeight="1" spans="1:14">
      <c r="A9" s="23">
        <v>8</v>
      </c>
      <c r="B9" s="24" t="s">
        <v>14</v>
      </c>
      <c r="C9" s="23" t="s">
        <v>47</v>
      </c>
      <c r="D9" s="23" t="s">
        <v>48</v>
      </c>
      <c r="E9" s="23" t="s">
        <v>29</v>
      </c>
      <c r="F9" s="23" t="s">
        <v>49</v>
      </c>
      <c r="G9" s="23" t="s">
        <v>19</v>
      </c>
      <c r="H9" s="23">
        <v>4</v>
      </c>
      <c r="I9" s="23">
        <f>ROUND(H9*测算依据!$B$6/测算依据!$B$7,0)</f>
        <v>3</v>
      </c>
      <c r="J9" s="23">
        <f t="shared" si="0"/>
        <v>3</v>
      </c>
      <c r="K9" s="25" t="s">
        <v>20</v>
      </c>
      <c r="L9" s="26" t="s">
        <v>21</v>
      </c>
      <c r="M9" s="27" t="s">
        <v>50</v>
      </c>
      <c r="N9" s="27" t="s">
        <v>51</v>
      </c>
    </row>
    <row r="10" s="18" customFormat="1" ht="18" customHeight="1" spans="1:14">
      <c r="A10" s="23">
        <v>9</v>
      </c>
      <c r="B10" s="24" t="s">
        <v>14</v>
      </c>
      <c r="C10" s="23" t="s">
        <v>52</v>
      </c>
      <c r="D10" s="23" t="s">
        <v>53</v>
      </c>
      <c r="E10" s="23" t="s">
        <v>29</v>
      </c>
      <c r="F10" s="23" t="s">
        <v>54</v>
      </c>
      <c r="G10" s="23" t="s">
        <v>31</v>
      </c>
      <c r="H10" s="23">
        <v>4</v>
      </c>
      <c r="I10" s="23">
        <f>ROUND(H10*测算依据!$B$6/测算依据!$B$7,0)</f>
        <v>3</v>
      </c>
      <c r="J10" s="23">
        <f t="shared" si="0"/>
        <v>21</v>
      </c>
      <c r="K10" s="25" t="s">
        <v>20</v>
      </c>
      <c r="L10" s="26" t="s">
        <v>21</v>
      </c>
      <c r="M10" s="27" t="s">
        <v>50</v>
      </c>
      <c r="N10" s="27" t="s">
        <v>55</v>
      </c>
    </row>
    <row r="11" s="18" customFormat="1" ht="18" customHeight="1" spans="1:14">
      <c r="A11" s="23">
        <v>10</v>
      </c>
      <c r="B11" s="24" t="s">
        <v>14</v>
      </c>
      <c r="C11" s="23" t="s">
        <v>52</v>
      </c>
      <c r="D11" s="23" t="s">
        <v>53</v>
      </c>
      <c r="E11" s="23" t="s">
        <v>29</v>
      </c>
      <c r="F11" s="23" t="s">
        <v>56</v>
      </c>
      <c r="G11" s="23" t="s">
        <v>31</v>
      </c>
      <c r="H11" s="23">
        <v>4</v>
      </c>
      <c r="I11" s="23">
        <f>ROUND(H11*测算依据!$B$6/测算依据!$B$7,0)</f>
        <v>3</v>
      </c>
      <c r="J11" s="23">
        <f t="shared" si="0"/>
        <v>21</v>
      </c>
      <c r="K11" s="25" t="s">
        <v>20</v>
      </c>
      <c r="L11" s="26" t="s">
        <v>21</v>
      </c>
      <c r="M11" s="27" t="s">
        <v>50</v>
      </c>
      <c r="N11" s="27" t="s">
        <v>57</v>
      </c>
    </row>
    <row r="12" s="18" customFormat="1" ht="18" customHeight="1" spans="1:14">
      <c r="A12" s="23">
        <v>11</v>
      </c>
      <c r="B12" s="24" t="s">
        <v>14</v>
      </c>
      <c r="C12" s="23" t="s">
        <v>52</v>
      </c>
      <c r="D12" s="23" t="s">
        <v>58</v>
      </c>
      <c r="E12" s="23" t="s">
        <v>59</v>
      </c>
      <c r="F12" s="23" t="s">
        <v>60</v>
      </c>
      <c r="G12" s="23" t="s">
        <v>45</v>
      </c>
      <c r="H12" s="23">
        <v>5</v>
      </c>
      <c r="I12" s="23">
        <f>ROUND(H12*测算依据!$B$6/测算依据!$B$7,0)</f>
        <v>4</v>
      </c>
      <c r="J12" s="23">
        <f t="shared" si="0"/>
        <v>21</v>
      </c>
      <c r="K12" s="25" t="s">
        <v>20</v>
      </c>
      <c r="L12" s="26" t="s">
        <v>21</v>
      </c>
      <c r="M12" s="27" t="s">
        <v>36</v>
      </c>
      <c r="N12" s="27" t="s">
        <v>61</v>
      </c>
    </row>
    <row r="13" s="18" customFormat="1" ht="18" customHeight="1" spans="1:14">
      <c r="A13" s="23">
        <v>12</v>
      </c>
      <c r="B13" s="24" t="s">
        <v>14</v>
      </c>
      <c r="C13" s="23" t="s">
        <v>52</v>
      </c>
      <c r="D13" s="23" t="s">
        <v>62</v>
      </c>
      <c r="E13" s="23" t="s">
        <v>63</v>
      </c>
      <c r="F13" s="23" t="s">
        <v>64</v>
      </c>
      <c r="G13" s="23" t="s">
        <v>45</v>
      </c>
      <c r="H13" s="23">
        <v>5</v>
      </c>
      <c r="I13" s="23">
        <f>ROUND(H13*测算依据!$B$6/测算依据!$B$7,0)</f>
        <v>4</v>
      </c>
      <c r="J13" s="23">
        <f t="shared" si="0"/>
        <v>21</v>
      </c>
      <c r="K13" s="25" t="s">
        <v>20</v>
      </c>
      <c r="L13" s="26" t="s">
        <v>21</v>
      </c>
      <c r="M13" s="27" t="s">
        <v>65</v>
      </c>
      <c r="N13" s="27" t="s">
        <v>66</v>
      </c>
    </row>
    <row r="14" s="18" customFormat="1" ht="18" customHeight="1" spans="1:14">
      <c r="A14" s="23">
        <v>13</v>
      </c>
      <c r="B14" s="24" t="s">
        <v>14</v>
      </c>
      <c r="C14" s="23" t="s">
        <v>52</v>
      </c>
      <c r="D14" s="23" t="s">
        <v>62</v>
      </c>
      <c r="E14" s="23" t="s">
        <v>67</v>
      </c>
      <c r="F14" s="23" t="s">
        <v>68</v>
      </c>
      <c r="G14" s="23" t="s">
        <v>31</v>
      </c>
      <c r="H14" s="23">
        <v>4</v>
      </c>
      <c r="I14" s="23">
        <f>ROUND(H14*测算依据!$B$6/测算依据!$B$7,0)</f>
        <v>3</v>
      </c>
      <c r="J14" s="23">
        <f t="shared" si="0"/>
        <v>21</v>
      </c>
      <c r="K14" s="25" t="s">
        <v>20</v>
      </c>
      <c r="L14" s="28" t="s">
        <v>39</v>
      </c>
      <c r="M14" s="27" t="s">
        <v>69</v>
      </c>
      <c r="N14" s="27" t="s">
        <v>70</v>
      </c>
    </row>
    <row r="15" s="18" customFormat="1" ht="18" customHeight="1" spans="1:14">
      <c r="A15" s="23">
        <v>14</v>
      </c>
      <c r="B15" s="24" t="s">
        <v>14</v>
      </c>
      <c r="C15" s="23" t="s">
        <v>52</v>
      </c>
      <c r="D15" s="23" t="s">
        <v>62</v>
      </c>
      <c r="E15" s="23" t="s">
        <v>71</v>
      </c>
      <c r="F15" s="23" t="s">
        <v>72</v>
      </c>
      <c r="G15" s="23" t="s">
        <v>45</v>
      </c>
      <c r="H15" s="23">
        <v>5</v>
      </c>
      <c r="I15" s="23">
        <f>ROUND(H15*测算依据!$B$6/测算依据!$B$7,0)</f>
        <v>4</v>
      </c>
      <c r="J15" s="23">
        <f t="shared" si="0"/>
        <v>21</v>
      </c>
      <c r="K15" s="25" t="s">
        <v>20</v>
      </c>
      <c r="L15" s="26" t="s">
        <v>21</v>
      </c>
      <c r="M15" s="27" t="s">
        <v>69</v>
      </c>
      <c r="N15" s="27" t="s">
        <v>73</v>
      </c>
    </row>
    <row r="16" s="18" customFormat="1" ht="18" customHeight="1" spans="1:14">
      <c r="A16" s="23">
        <v>15</v>
      </c>
      <c r="B16" s="24" t="s">
        <v>14</v>
      </c>
      <c r="C16" s="23" t="s">
        <v>74</v>
      </c>
      <c r="D16" s="23" t="s">
        <v>75</v>
      </c>
      <c r="E16" s="23" t="s">
        <v>76</v>
      </c>
      <c r="F16" s="23" t="s">
        <v>77</v>
      </c>
      <c r="G16" s="23" t="s">
        <v>19</v>
      </c>
      <c r="H16" s="23">
        <v>4</v>
      </c>
      <c r="I16" s="23">
        <f>ROUND(H16*测算依据!$B$6/测算依据!$B$7,0)</f>
        <v>3</v>
      </c>
      <c r="J16" s="23">
        <f t="shared" si="0"/>
        <v>9</v>
      </c>
      <c r="K16" s="25" t="s">
        <v>20</v>
      </c>
      <c r="L16" s="26" t="s">
        <v>21</v>
      </c>
      <c r="M16" s="27" t="s">
        <v>78</v>
      </c>
      <c r="N16" s="27" t="s">
        <v>79</v>
      </c>
    </row>
    <row r="17" s="18" customFormat="1" ht="18" customHeight="1" spans="1:14">
      <c r="A17" s="23">
        <v>16</v>
      </c>
      <c r="B17" s="24" t="s">
        <v>14</v>
      </c>
      <c r="C17" s="23" t="s">
        <v>74</v>
      </c>
      <c r="D17" s="23" t="s">
        <v>80</v>
      </c>
      <c r="E17" s="23" t="s">
        <v>17</v>
      </c>
      <c r="F17" s="23" t="s">
        <v>81</v>
      </c>
      <c r="G17" s="23" t="s">
        <v>19</v>
      </c>
      <c r="H17" s="23">
        <v>4</v>
      </c>
      <c r="I17" s="23">
        <f>ROUND(H17*测算依据!$B$6/测算依据!$B$7,0)</f>
        <v>3</v>
      </c>
      <c r="J17" s="23">
        <f t="shared" si="0"/>
        <v>9</v>
      </c>
      <c r="K17" s="25" t="s">
        <v>20</v>
      </c>
      <c r="L17" s="26" t="s">
        <v>21</v>
      </c>
      <c r="M17" s="27" t="s">
        <v>78</v>
      </c>
      <c r="N17" s="27" t="s">
        <v>82</v>
      </c>
    </row>
    <row r="18" s="18" customFormat="1" ht="18" customHeight="1" spans="1:14">
      <c r="A18" s="23">
        <v>17</v>
      </c>
      <c r="B18" s="24" t="s">
        <v>14</v>
      </c>
      <c r="C18" s="23" t="s">
        <v>74</v>
      </c>
      <c r="D18" s="23" t="s">
        <v>83</v>
      </c>
      <c r="E18" s="23" t="s">
        <v>84</v>
      </c>
      <c r="F18" s="23" t="s">
        <v>85</v>
      </c>
      <c r="G18" s="23" t="s">
        <v>19</v>
      </c>
      <c r="H18" s="23">
        <v>4</v>
      </c>
      <c r="I18" s="23">
        <f>ROUND(H18*测算依据!$B$6/测算依据!$B$7,0)</f>
        <v>3</v>
      </c>
      <c r="J18" s="23">
        <f t="shared" si="0"/>
        <v>9</v>
      </c>
      <c r="K18" s="25" t="s">
        <v>20</v>
      </c>
      <c r="L18" s="26" t="s">
        <v>21</v>
      </c>
      <c r="M18" s="27" t="s">
        <v>78</v>
      </c>
      <c r="N18" s="27" t="s">
        <v>86</v>
      </c>
    </row>
    <row r="19" s="18" customFormat="1" ht="18" customHeight="1" spans="1:14">
      <c r="A19" s="23">
        <v>18</v>
      </c>
      <c r="B19" s="24" t="s">
        <v>14</v>
      </c>
      <c r="C19" s="23" t="s">
        <v>87</v>
      </c>
      <c r="D19" s="23" t="s">
        <v>88</v>
      </c>
      <c r="E19" s="23" t="s">
        <v>89</v>
      </c>
      <c r="F19" s="23" t="s">
        <v>90</v>
      </c>
      <c r="G19" s="23" t="s">
        <v>31</v>
      </c>
      <c r="H19" s="23">
        <v>4</v>
      </c>
      <c r="I19" s="23">
        <f>ROUND(H19*测算依据!$B$6/测算依据!$B$7,0)</f>
        <v>3</v>
      </c>
      <c r="J19" s="23">
        <f t="shared" si="0"/>
        <v>21</v>
      </c>
      <c r="K19" s="25" t="s">
        <v>20</v>
      </c>
      <c r="L19" s="26" t="s">
        <v>21</v>
      </c>
      <c r="M19" s="27" t="s">
        <v>91</v>
      </c>
      <c r="N19" s="27" t="s">
        <v>92</v>
      </c>
    </row>
    <row r="20" s="18" customFormat="1" ht="18" customHeight="1" spans="1:14">
      <c r="A20" s="23">
        <v>19</v>
      </c>
      <c r="B20" s="24" t="s">
        <v>14</v>
      </c>
      <c r="C20" s="23" t="s">
        <v>87</v>
      </c>
      <c r="D20" s="23" t="s">
        <v>88</v>
      </c>
      <c r="E20" s="23" t="s">
        <v>89</v>
      </c>
      <c r="F20" s="23" t="s">
        <v>93</v>
      </c>
      <c r="G20" s="23" t="s">
        <v>31</v>
      </c>
      <c r="H20" s="23">
        <v>4</v>
      </c>
      <c r="I20" s="23">
        <f>ROUND(H20*测算依据!$B$6/测算依据!$B$7,0)</f>
        <v>3</v>
      </c>
      <c r="J20" s="23">
        <f t="shared" si="0"/>
        <v>21</v>
      </c>
      <c r="K20" s="25" t="s">
        <v>20</v>
      </c>
      <c r="L20" s="28" t="s">
        <v>39</v>
      </c>
      <c r="M20" s="27" t="s">
        <v>94</v>
      </c>
      <c r="N20" s="27" t="s">
        <v>95</v>
      </c>
    </row>
    <row r="21" s="18" customFormat="1" ht="18" customHeight="1" spans="1:14">
      <c r="A21" s="23">
        <v>20</v>
      </c>
      <c r="B21" s="24" t="s">
        <v>14</v>
      </c>
      <c r="C21" s="23" t="s">
        <v>87</v>
      </c>
      <c r="D21" s="23" t="s">
        <v>88</v>
      </c>
      <c r="E21" s="23" t="s">
        <v>89</v>
      </c>
      <c r="F21" s="23" t="s">
        <v>87</v>
      </c>
      <c r="G21" s="23" t="s">
        <v>31</v>
      </c>
      <c r="H21" s="23">
        <v>4</v>
      </c>
      <c r="I21" s="23">
        <f>ROUND(H21*测算依据!$B$6/测算依据!$B$7,0)</f>
        <v>3</v>
      </c>
      <c r="J21" s="23">
        <f t="shared" si="0"/>
        <v>21</v>
      </c>
      <c r="K21" s="25" t="s">
        <v>20</v>
      </c>
      <c r="L21" s="26" t="s">
        <v>21</v>
      </c>
      <c r="M21" s="27" t="s">
        <v>94</v>
      </c>
      <c r="N21" s="27" t="s">
        <v>96</v>
      </c>
    </row>
    <row r="22" s="18" customFormat="1" ht="18" customHeight="1" spans="1:14">
      <c r="A22" s="23">
        <v>21</v>
      </c>
      <c r="B22" s="24" t="s">
        <v>14</v>
      </c>
      <c r="C22" s="23" t="s">
        <v>87</v>
      </c>
      <c r="D22" s="23" t="s">
        <v>97</v>
      </c>
      <c r="E22" s="23" t="s">
        <v>98</v>
      </c>
      <c r="F22" s="23" t="s">
        <v>99</v>
      </c>
      <c r="G22" s="23" t="s">
        <v>19</v>
      </c>
      <c r="H22" s="23">
        <v>4</v>
      </c>
      <c r="I22" s="23">
        <f>ROUND(H22*测算依据!$B$6/测算依据!$B$7,0)</f>
        <v>3</v>
      </c>
      <c r="J22" s="23">
        <f t="shared" si="0"/>
        <v>21</v>
      </c>
      <c r="K22" s="25" t="s">
        <v>20</v>
      </c>
      <c r="L22" s="28" t="s">
        <v>39</v>
      </c>
      <c r="M22" s="27" t="s">
        <v>94</v>
      </c>
      <c r="N22" s="27" t="s">
        <v>100</v>
      </c>
    </row>
    <row r="23" s="18" customFormat="1" ht="18" customHeight="1" spans="1:14">
      <c r="A23" s="23">
        <v>22</v>
      </c>
      <c r="B23" s="24" t="s">
        <v>14</v>
      </c>
      <c r="C23" s="23" t="s">
        <v>87</v>
      </c>
      <c r="D23" s="23" t="s">
        <v>97</v>
      </c>
      <c r="E23" s="23" t="s">
        <v>98</v>
      </c>
      <c r="F23" s="23" t="s">
        <v>101</v>
      </c>
      <c r="G23" s="23" t="s">
        <v>19</v>
      </c>
      <c r="H23" s="23">
        <v>4</v>
      </c>
      <c r="I23" s="23">
        <f>ROUND(H23*测算依据!$B$6/测算依据!$B$7,0)</f>
        <v>3</v>
      </c>
      <c r="J23" s="23">
        <f t="shared" si="0"/>
        <v>21</v>
      </c>
      <c r="K23" s="25" t="s">
        <v>20</v>
      </c>
      <c r="L23" s="28" t="s">
        <v>39</v>
      </c>
      <c r="M23" s="27" t="s">
        <v>94</v>
      </c>
      <c r="N23" s="27" t="s">
        <v>100</v>
      </c>
    </row>
    <row r="24" s="18" customFormat="1" ht="18" customHeight="1" spans="1:14">
      <c r="A24" s="23">
        <v>23</v>
      </c>
      <c r="B24" s="24" t="s">
        <v>14</v>
      </c>
      <c r="C24" s="23" t="s">
        <v>87</v>
      </c>
      <c r="D24" s="23" t="s">
        <v>97</v>
      </c>
      <c r="E24" s="23" t="s">
        <v>98</v>
      </c>
      <c r="F24" s="23" t="s">
        <v>102</v>
      </c>
      <c r="G24" s="23" t="s">
        <v>19</v>
      </c>
      <c r="H24" s="23">
        <v>4</v>
      </c>
      <c r="I24" s="23">
        <f>ROUND(H24*测算依据!$B$6/测算依据!$B$7,0)</f>
        <v>3</v>
      </c>
      <c r="J24" s="23">
        <f t="shared" si="0"/>
        <v>21</v>
      </c>
      <c r="K24" s="25" t="s">
        <v>20</v>
      </c>
      <c r="L24" s="28" t="s">
        <v>39</v>
      </c>
      <c r="M24" s="27" t="s">
        <v>94</v>
      </c>
      <c r="N24" s="27" t="s">
        <v>100</v>
      </c>
    </row>
    <row r="25" s="18" customFormat="1" ht="18" customHeight="1" spans="1:14">
      <c r="A25" s="23">
        <v>24</v>
      </c>
      <c r="B25" s="24" t="s">
        <v>14</v>
      </c>
      <c r="C25" s="23" t="s">
        <v>87</v>
      </c>
      <c r="D25" s="23" t="s">
        <v>103</v>
      </c>
      <c r="E25" s="23" t="s">
        <v>104</v>
      </c>
      <c r="F25" s="23" t="s">
        <v>105</v>
      </c>
      <c r="G25" s="23" t="s">
        <v>31</v>
      </c>
      <c r="H25" s="23">
        <v>4</v>
      </c>
      <c r="I25" s="23">
        <f>ROUND(H25*测算依据!$B$6/测算依据!$B$7,0)</f>
        <v>3</v>
      </c>
      <c r="J25" s="23">
        <f t="shared" si="0"/>
        <v>21</v>
      </c>
      <c r="K25" s="25" t="s">
        <v>20</v>
      </c>
      <c r="L25" s="26" t="s">
        <v>21</v>
      </c>
      <c r="M25" s="27" t="s">
        <v>91</v>
      </c>
      <c r="N25" s="27" t="s">
        <v>106</v>
      </c>
    </row>
    <row r="26" s="18" customFormat="1" ht="18" customHeight="1" spans="1:14">
      <c r="A26" s="23">
        <v>25</v>
      </c>
      <c r="B26" s="24" t="s">
        <v>14</v>
      </c>
      <c r="C26" s="23" t="s">
        <v>107</v>
      </c>
      <c r="D26" s="23" t="s">
        <v>108</v>
      </c>
      <c r="E26" s="23" t="s">
        <v>89</v>
      </c>
      <c r="F26" s="23" t="s">
        <v>109</v>
      </c>
      <c r="G26" s="23" t="s">
        <v>31</v>
      </c>
      <c r="H26" s="23">
        <v>4</v>
      </c>
      <c r="I26" s="23">
        <f>ROUND(H26*测算依据!$B$6/测算依据!$B$7,0)</f>
        <v>3</v>
      </c>
      <c r="J26" s="23">
        <f t="shared" si="0"/>
        <v>9</v>
      </c>
      <c r="K26" s="25" t="s">
        <v>20</v>
      </c>
      <c r="L26" s="28" t="s">
        <v>39</v>
      </c>
      <c r="M26" s="27" t="s">
        <v>110</v>
      </c>
      <c r="N26" s="27" t="s">
        <v>111</v>
      </c>
    </row>
    <row r="27" s="18" customFormat="1" ht="18" customHeight="1" spans="1:14">
      <c r="A27" s="23">
        <v>26</v>
      </c>
      <c r="B27" s="24" t="s">
        <v>14</v>
      </c>
      <c r="C27" s="23" t="s">
        <v>107</v>
      </c>
      <c r="D27" s="23" t="s">
        <v>108</v>
      </c>
      <c r="E27" s="23" t="s">
        <v>89</v>
      </c>
      <c r="F27" s="23" t="s">
        <v>112</v>
      </c>
      <c r="G27" s="23" t="s">
        <v>31</v>
      </c>
      <c r="H27" s="23">
        <v>4</v>
      </c>
      <c r="I27" s="23">
        <f>ROUND(H27*测算依据!$B$6/测算依据!$B$7,0)</f>
        <v>3</v>
      </c>
      <c r="J27" s="23">
        <f t="shared" si="0"/>
        <v>9</v>
      </c>
      <c r="K27" s="25" t="s">
        <v>20</v>
      </c>
      <c r="L27" s="28" t="s">
        <v>39</v>
      </c>
      <c r="M27" s="27" t="s">
        <v>110</v>
      </c>
      <c r="N27" s="27" t="s">
        <v>111</v>
      </c>
    </row>
    <row r="28" s="18" customFormat="1" ht="18" customHeight="1" spans="1:14">
      <c r="A28" s="23">
        <v>27</v>
      </c>
      <c r="B28" s="24" t="s">
        <v>14</v>
      </c>
      <c r="C28" s="23" t="s">
        <v>107</v>
      </c>
      <c r="D28" s="23" t="s">
        <v>108</v>
      </c>
      <c r="E28" s="23" t="s">
        <v>89</v>
      </c>
      <c r="F28" s="23" t="s">
        <v>113</v>
      </c>
      <c r="G28" s="23" t="s">
        <v>31</v>
      </c>
      <c r="H28" s="23">
        <v>4</v>
      </c>
      <c r="I28" s="23">
        <f>ROUND(H28*测算依据!$B$6/测算依据!$B$7,0)</f>
        <v>3</v>
      </c>
      <c r="J28" s="23">
        <f t="shared" si="0"/>
        <v>9</v>
      </c>
      <c r="K28" s="25" t="s">
        <v>20</v>
      </c>
      <c r="L28" s="28" t="s">
        <v>39</v>
      </c>
      <c r="M28" s="27" t="s">
        <v>110</v>
      </c>
      <c r="N28" s="27" t="s">
        <v>111</v>
      </c>
    </row>
    <row r="29" s="18" customFormat="1" ht="18" customHeight="1" spans="1:14">
      <c r="A29" s="23">
        <v>28</v>
      </c>
      <c r="B29" s="23" t="s">
        <v>114</v>
      </c>
      <c r="C29" s="23" t="s">
        <v>115</v>
      </c>
      <c r="D29" s="23" t="s">
        <v>116</v>
      </c>
      <c r="E29" s="23" t="s">
        <v>29</v>
      </c>
      <c r="F29" s="23" t="s">
        <v>117</v>
      </c>
      <c r="G29" s="23" t="s">
        <v>45</v>
      </c>
      <c r="H29" s="23">
        <v>5</v>
      </c>
      <c r="I29" s="23">
        <f>ROUND(H29*测算依据!$B$6/测算依据!$B$7,0)</f>
        <v>4</v>
      </c>
      <c r="J29" s="23">
        <f t="shared" si="0"/>
        <v>12</v>
      </c>
      <c r="K29" s="25" t="s">
        <v>20</v>
      </c>
      <c r="L29" s="28" t="s">
        <v>39</v>
      </c>
      <c r="M29" s="27" t="s">
        <v>118</v>
      </c>
      <c r="N29" s="27" t="s">
        <v>119</v>
      </c>
    </row>
    <row r="30" s="18" customFormat="1" ht="18" customHeight="1" spans="1:14">
      <c r="A30" s="23">
        <v>29</v>
      </c>
      <c r="B30" s="23" t="s">
        <v>114</v>
      </c>
      <c r="C30" s="23" t="s">
        <v>115</v>
      </c>
      <c r="D30" s="23" t="s">
        <v>116</v>
      </c>
      <c r="E30" s="23" t="s">
        <v>29</v>
      </c>
      <c r="F30" s="23" t="s">
        <v>120</v>
      </c>
      <c r="G30" s="23" t="s">
        <v>45</v>
      </c>
      <c r="H30" s="23">
        <v>5</v>
      </c>
      <c r="I30" s="23">
        <f>ROUND(H30*测算依据!$B$6/测算依据!$B$7,0)</f>
        <v>4</v>
      </c>
      <c r="J30" s="23">
        <f t="shared" si="0"/>
        <v>12</v>
      </c>
      <c r="K30" s="25" t="s">
        <v>20</v>
      </c>
      <c r="L30" s="28" t="s">
        <v>39</v>
      </c>
      <c r="M30" s="27" t="s">
        <v>118</v>
      </c>
      <c r="N30" s="27" t="s">
        <v>119</v>
      </c>
    </row>
    <row r="31" s="18" customFormat="1" ht="18" customHeight="1" spans="1:14">
      <c r="A31" s="23">
        <v>30</v>
      </c>
      <c r="B31" s="23" t="s">
        <v>114</v>
      </c>
      <c r="C31" s="23" t="s">
        <v>115</v>
      </c>
      <c r="D31" s="23" t="s">
        <v>116</v>
      </c>
      <c r="E31" s="23" t="s">
        <v>29</v>
      </c>
      <c r="F31" s="23" t="s">
        <v>121</v>
      </c>
      <c r="G31" s="23" t="s">
        <v>45</v>
      </c>
      <c r="H31" s="23">
        <v>5</v>
      </c>
      <c r="I31" s="23">
        <f>ROUND(H31*测算依据!$B$6/测算依据!$B$7,0)</f>
        <v>4</v>
      </c>
      <c r="J31" s="23">
        <f t="shared" si="0"/>
        <v>12</v>
      </c>
      <c r="K31" s="25" t="s">
        <v>20</v>
      </c>
      <c r="L31" s="28" t="s">
        <v>39</v>
      </c>
      <c r="M31" s="27" t="s">
        <v>118</v>
      </c>
      <c r="N31" s="27" t="s">
        <v>119</v>
      </c>
    </row>
    <row r="32" s="18" customFormat="1" ht="18" customHeight="1" spans="1:14">
      <c r="A32" s="23">
        <v>31</v>
      </c>
      <c r="B32" s="23" t="s">
        <v>114</v>
      </c>
      <c r="C32" s="23" t="s">
        <v>122</v>
      </c>
      <c r="D32" s="23" t="s">
        <v>123</v>
      </c>
      <c r="E32" s="23" t="s">
        <v>89</v>
      </c>
      <c r="F32" s="23" t="s">
        <v>35</v>
      </c>
      <c r="G32" s="23" t="s">
        <v>45</v>
      </c>
      <c r="H32" s="23">
        <v>5</v>
      </c>
      <c r="I32" s="23">
        <f>ROUND(H32*测算依据!$B$6/测算依据!$B$7,0)</f>
        <v>4</v>
      </c>
      <c r="J32" s="23">
        <f t="shared" si="0"/>
        <v>36</v>
      </c>
      <c r="K32" s="25" t="s">
        <v>20</v>
      </c>
      <c r="L32" s="26" t="s">
        <v>21</v>
      </c>
      <c r="M32" s="27" t="s">
        <v>124</v>
      </c>
      <c r="N32" s="27" t="s">
        <v>125</v>
      </c>
    </row>
    <row r="33" s="18" customFormat="1" ht="18" customHeight="1" spans="1:14">
      <c r="A33" s="23">
        <v>32</v>
      </c>
      <c r="B33" s="23" t="s">
        <v>114</v>
      </c>
      <c r="C33" s="23" t="s">
        <v>122</v>
      </c>
      <c r="D33" s="23" t="s">
        <v>123</v>
      </c>
      <c r="E33" s="23" t="s">
        <v>89</v>
      </c>
      <c r="F33" s="23" t="s">
        <v>126</v>
      </c>
      <c r="G33" s="23" t="s">
        <v>45</v>
      </c>
      <c r="H33" s="23">
        <v>5</v>
      </c>
      <c r="I33" s="23">
        <f>ROUND(H33*测算依据!$B$6/测算依据!$B$7,0)</f>
        <v>4</v>
      </c>
      <c r="J33" s="23">
        <f t="shared" si="0"/>
        <v>36</v>
      </c>
      <c r="K33" s="25" t="s">
        <v>20</v>
      </c>
      <c r="L33" s="26" t="s">
        <v>21</v>
      </c>
      <c r="M33" s="27" t="s">
        <v>124</v>
      </c>
      <c r="N33" s="27" t="s">
        <v>127</v>
      </c>
    </row>
    <row r="34" s="18" customFormat="1" ht="18" customHeight="1" spans="1:14">
      <c r="A34" s="23">
        <v>33</v>
      </c>
      <c r="B34" s="23" t="s">
        <v>114</v>
      </c>
      <c r="C34" s="23" t="s">
        <v>122</v>
      </c>
      <c r="D34" s="23" t="s">
        <v>123</v>
      </c>
      <c r="E34" s="23" t="s">
        <v>89</v>
      </c>
      <c r="F34" s="23" t="s">
        <v>128</v>
      </c>
      <c r="G34" s="23" t="s">
        <v>45</v>
      </c>
      <c r="H34" s="23">
        <v>5</v>
      </c>
      <c r="I34" s="23">
        <f>ROUND(H34*测算依据!$B$6/测算依据!$B$7,0)</f>
        <v>4</v>
      </c>
      <c r="J34" s="23">
        <f t="shared" si="0"/>
        <v>36</v>
      </c>
      <c r="K34" s="25" t="s">
        <v>20</v>
      </c>
      <c r="L34" s="28" t="s">
        <v>39</v>
      </c>
      <c r="M34" s="27" t="s">
        <v>129</v>
      </c>
      <c r="N34" s="27" t="s">
        <v>130</v>
      </c>
    </row>
    <row r="35" s="18" customFormat="1" ht="18" customHeight="1" spans="1:14">
      <c r="A35" s="23">
        <v>34</v>
      </c>
      <c r="B35" s="23" t="s">
        <v>114</v>
      </c>
      <c r="C35" s="23" t="s">
        <v>122</v>
      </c>
      <c r="D35" s="23" t="s">
        <v>123</v>
      </c>
      <c r="E35" s="23" t="s">
        <v>89</v>
      </c>
      <c r="F35" s="23" t="s">
        <v>131</v>
      </c>
      <c r="G35" s="23" t="s">
        <v>45</v>
      </c>
      <c r="H35" s="23">
        <v>5</v>
      </c>
      <c r="I35" s="23">
        <f>ROUND(H35*测算依据!$B$6/测算依据!$B$7,0)</f>
        <v>4</v>
      </c>
      <c r="J35" s="23">
        <f t="shared" si="0"/>
        <v>36</v>
      </c>
      <c r="K35" s="25" t="s">
        <v>20</v>
      </c>
      <c r="L35" s="28" t="s">
        <v>39</v>
      </c>
      <c r="M35" s="27" t="s">
        <v>132</v>
      </c>
      <c r="N35" s="27" t="s">
        <v>133</v>
      </c>
    </row>
    <row r="36" s="18" customFormat="1" ht="18" customHeight="1" spans="1:14">
      <c r="A36" s="23">
        <v>35</v>
      </c>
      <c r="B36" s="23" t="s">
        <v>114</v>
      </c>
      <c r="C36" s="23" t="s">
        <v>122</v>
      </c>
      <c r="D36" s="23" t="s">
        <v>134</v>
      </c>
      <c r="E36" s="23" t="s">
        <v>89</v>
      </c>
      <c r="F36" s="23" t="s">
        <v>135</v>
      </c>
      <c r="G36" s="23" t="s">
        <v>45</v>
      </c>
      <c r="H36" s="23">
        <v>5</v>
      </c>
      <c r="I36" s="23">
        <f>ROUND(H36*测算依据!$B$6/测算依据!$B$7,0)</f>
        <v>4</v>
      </c>
      <c r="J36" s="23">
        <f t="shared" si="0"/>
        <v>36</v>
      </c>
      <c r="K36" s="25" t="s">
        <v>20</v>
      </c>
      <c r="L36" s="28" t="s">
        <v>39</v>
      </c>
      <c r="M36" s="27" t="s">
        <v>129</v>
      </c>
      <c r="N36" s="27" t="s">
        <v>136</v>
      </c>
    </row>
    <row r="37" s="18" customFormat="1" ht="18" customHeight="1" spans="1:14">
      <c r="A37" s="23">
        <v>36</v>
      </c>
      <c r="B37" s="23" t="s">
        <v>114</v>
      </c>
      <c r="C37" s="23" t="s">
        <v>122</v>
      </c>
      <c r="D37" s="23" t="s">
        <v>134</v>
      </c>
      <c r="E37" s="23" t="s">
        <v>89</v>
      </c>
      <c r="F37" s="23" t="s">
        <v>137</v>
      </c>
      <c r="G37" s="23" t="s">
        <v>45</v>
      </c>
      <c r="H37" s="23">
        <v>5</v>
      </c>
      <c r="I37" s="23">
        <f>ROUND(H37*测算依据!$B$6/测算依据!$B$7,0)</f>
        <v>4</v>
      </c>
      <c r="J37" s="23">
        <f t="shared" si="0"/>
        <v>36</v>
      </c>
      <c r="K37" s="25" t="s">
        <v>20</v>
      </c>
      <c r="L37" s="28" t="s">
        <v>39</v>
      </c>
      <c r="M37" s="27" t="s">
        <v>129</v>
      </c>
      <c r="N37" s="27" t="s">
        <v>136</v>
      </c>
    </row>
    <row r="38" s="18" customFormat="1" ht="18" customHeight="1" spans="1:14">
      <c r="A38" s="23">
        <v>37</v>
      </c>
      <c r="B38" s="23" t="s">
        <v>114</v>
      </c>
      <c r="C38" s="23" t="s">
        <v>122</v>
      </c>
      <c r="D38" s="23" t="s">
        <v>138</v>
      </c>
      <c r="E38" s="23" t="s">
        <v>89</v>
      </c>
      <c r="F38" s="23" t="s">
        <v>139</v>
      </c>
      <c r="G38" s="23" t="s">
        <v>45</v>
      </c>
      <c r="H38" s="23">
        <v>5</v>
      </c>
      <c r="I38" s="23">
        <f>ROUND(H38*测算依据!$B$6/测算依据!$B$7,0)</f>
        <v>4</v>
      </c>
      <c r="J38" s="23">
        <f t="shared" si="0"/>
        <v>36</v>
      </c>
      <c r="K38" s="25" t="s">
        <v>20</v>
      </c>
      <c r="L38" s="28" t="s">
        <v>39</v>
      </c>
      <c r="M38" s="27" t="s">
        <v>118</v>
      </c>
      <c r="N38" s="27" t="s">
        <v>140</v>
      </c>
    </row>
    <row r="39" s="18" customFormat="1" ht="18" customHeight="1" spans="1:14">
      <c r="A39" s="23">
        <v>38</v>
      </c>
      <c r="B39" s="23" t="s">
        <v>114</v>
      </c>
      <c r="C39" s="23" t="s">
        <v>122</v>
      </c>
      <c r="D39" s="23" t="s">
        <v>138</v>
      </c>
      <c r="E39" s="23" t="s">
        <v>89</v>
      </c>
      <c r="F39" s="23" t="s">
        <v>141</v>
      </c>
      <c r="G39" s="23" t="s">
        <v>45</v>
      </c>
      <c r="H39" s="23">
        <v>5</v>
      </c>
      <c r="I39" s="23">
        <f>ROUND(H39*测算依据!$B$6/测算依据!$B$7,0)</f>
        <v>4</v>
      </c>
      <c r="J39" s="23">
        <f t="shared" si="0"/>
        <v>36</v>
      </c>
      <c r="K39" s="25" t="s">
        <v>20</v>
      </c>
      <c r="L39" s="28" t="s">
        <v>39</v>
      </c>
      <c r="M39" s="27" t="s">
        <v>118</v>
      </c>
      <c r="N39" s="27" t="s">
        <v>140</v>
      </c>
    </row>
    <row r="40" s="18" customFormat="1" ht="18" customHeight="1" spans="1:14">
      <c r="A40" s="23">
        <v>39</v>
      </c>
      <c r="B40" s="23" t="s">
        <v>114</v>
      </c>
      <c r="C40" s="23" t="s">
        <v>122</v>
      </c>
      <c r="D40" s="23" t="s">
        <v>138</v>
      </c>
      <c r="E40" s="23" t="s">
        <v>89</v>
      </c>
      <c r="F40" s="23" t="s">
        <v>142</v>
      </c>
      <c r="G40" s="23" t="s">
        <v>45</v>
      </c>
      <c r="H40" s="23">
        <v>5</v>
      </c>
      <c r="I40" s="23">
        <f>ROUND(H40*测算依据!$B$6/测算依据!$B$7,0)</f>
        <v>4</v>
      </c>
      <c r="J40" s="23">
        <f t="shared" si="0"/>
        <v>36</v>
      </c>
      <c r="K40" s="25" t="s">
        <v>20</v>
      </c>
      <c r="L40" s="28" t="s">
        <v>39</v>
      </c>
      <c r="M40" s="27" t="s">
        <v>118</v>
      </c>
      <c r="N40" s="27" t="s">
        <v>140</v>
      </c>
    </row>
    <row r="41" s="18" customFormat="1" ht="18" customHeight="1" spans="1:14">
      <c r="A41" s="23">
        <v>41</v>
      </c>
      <c r="B41" s="23" t="s">
        <v>114</v>
      </c>
      <c r="C41" s="23" t="s">
        <v>143</v>
      </c>
      <c r="D41" s="23" t="s">
        <v>144</v>
      </c>
      <c r="E41" s="23" t="s">
        <v>89</v>
      </c>
      <c r="F41" s="23" t="s">
        <v>145</v>
      </c>
      <c r="G41" s="23" t="s">
        <v>45</v>
      </c>
      <c r="H41" s="23">
        <v>5</v>
      </c>
      <c r="I41" s="23">
        <f>ROUND(H41*测算依据!$B$6/测算依据!$B$7,0)</f>
        <v>4</v>
      </c>
      <c r="J41" s="23">
        <f t="shared" si="0"/>
        <v>27</v>
      </c>
      <c r="K41" s="25" t="s">
        <v>20</v>
      </c>
      <c r="L41" s="28" t="s">
        <v>39</v>
      </c>
      <c r="M41" s="27" t="s">
        <v>129</v>
      </c>
      <c r="N41" s="27" t="s">
        <v>146</v>
      </c>
    </row>
    <row r="42" s="18" customFormat="1" ht="18" customHeight="1" spans="1:14">
      <c r="A42" s="23">
        <v>42</v>
      </c>
      <c r="B42" s="23" t="s">
        <v>114</v>
      </c>
      <c r="C42" s="23" t="s">
        <v>143</v>
      </c>
      <c r="D42" s="23" t="s">
        <v>144</v>
      </c>
      <c r="E42" s="23" t="s">
        <v>89</v>
      </c>
      <c r="F42" s="23" t="s">
        <v>147</v>
      </c>
      <c r="G42" s="23" t="s">
        <v>45</v>
      </c>
      <c r="H42" s="23">
        <v>5</v>
      </c>
      <c r="I42" s="23">
        <f>ROUND(H42*测算依据!$B$6/测算依据!$B$7,0)</f>
        <v>4</v>
      </c>
      <c r="J42" s="23">
        <f t="shared" si="0"/>
        <v>27</v>
      </c>
      <c r="K42" s="25" t="s">
        <v>20</v>
      </c>
      <c r="L42" s="28" t="s">
        <v>39</v>
      </c>
      <c r="M42" s="27" t="s">
        <v>129</v>
      </c>
      <c r="N42" s="27" t="s">
        <v>148</v>
      </c>
    </row>
    <row r="43" s="18" customFormat="1" ht="18" customHeight="1" spans="1:14">
      <c r="A43" s="23">
        <v>43</v>
      </c>
      <c r="B43" s="23" t="s">
        <v>114</v>
      </c>
      <c r="C43" s="23" t="s">
        <v>143</v>
      </c>
      <c r="D43" s="23" t="s">
        <v>144</v>
      </c>
      <c r="E43" s="23" t="s">
        <v>89</v>
      </c>
      <c r="F43" s="23" t="s">
        <v>149</v>
      </c>
      <c r="G43" s="23" t="s">
        <v>45</v>
      </c>
      <c r="H43" s="23">
        <v>5</v>
      </c>
      <c r="I43" s="23">
        <f>ROUND(H43*测算依据!$B$6/测算依据!$B$7,0)</f>
        <v>4</v>
      </c>
      <c r="J43" s="23">
        <f t="shared" si="0"/>
        <v>27</v>
      </c>
      <c r="K43" s="25" t="s">
        <v>20</v>
      </c>
      <c r="L43" s="28" t="s">
        <v>39</v>
      </c>
      <c r="M43" s="27" t="s">
        <v>129</v>
      </c>
      <c r="N43" s="27" t="s">
        <v>150</v>
      </c>
    </row>
    <row r="44" s="18" customFormat="1" ht="18" customHeight="1" spans="1:14">
      <c r="A44" s="23">
        <v>44</v>
      </c>
      <c r="B44" s="23" t="s">
        <v>114</v>
      </c>
      <c r="C44" s="23" t="s">
        <v>143</v>
      </c>
      <c r="D44" s="23" t="s">
        <v>151</v>
      </c>
      <c r="E44" s="23" t="s">
        <v>152</v>
      </c>
      <c r="F44" s="23" t="s">
        <v>153</v>
      </c>
      <c r="G44" s="23" t="s">
        <v>19</v>
      </c>
      <c r="H44" s="23">
        <v>4</v>
      </c>
      <c r="I44" s="23">
        <f>ROUND(H44*测算依据!$B$6/测算依据!$B$7,0)</f>
        <v>3</v>
      </c>
      <c r="J44" s="23">
        <f t="shared" si="0"/>
        <v>27</v>
      </c>
      <c r="K44" s="25" t="s">
        <v>20</v>
      </c>
      <c r="L44" s="28" t="s">
        <v>39</v>
      </c>
      <c r="M44" s="27" t="s">
        <v>129</v>
      </c>
      <c r="N44" s="27" t="s">
        <v>154</v>
      </c>
    </row>
    <row r="45" s="18" customFormat="1" ht="18" customHeight="1" spans="1:14">
      <c r="A45" s="23">
        <v>45</v>
      </c>
      <c r="B45" s="23" t="s">
        <v>114</v>
      </c>
      <c r="C45" s="23" t="s">
        <v>143</v>
      </c>
      <c r="D45" s="23" t="s">
        <v>151</v>
      </c>
      <c r="E45" s="23" t="s">
        <v>152</v>
      </c>
      <c r="F45" s="23" t="s">
        <v>155</v>
      </c>
      <c r="G45" s="23" t="s">
        <v>19</v>
      </c>
      <c r="H45" s="23">
        <v>4</v>
      </c>
      <c r="I45" s="23">
        <f>ROUND(H45*测算依据!$B$6/测算依据!$B$7,0)</f>
        <v>3</v>
      </c>
      <c r="J45" s="23">
        <f t="shared" si="0"/>
        <v>27</v>
      </c>
      <c r="K45" s="25" t="s">
        <v>20</v>
      </c>
      <c r="L45" s="28" t="s">
        <v>39</v>
      </c>
      <c r="M45" s="27" t="s">
        <v>129</v>
      </c>
      <c r="N45" s="27" t="s">
        <v>156</v>
      </c>
    </row>
    <row r="46" s="18" customFormat="1" ht="18" customHeight="1" spans="1:14">
      <c r="A46" s="23">
        <v>46</v>
      </c>
      <c r="B46" s="23" t="s">
        <v>114</v>
      </c>
      <c r="C46" s="23" t="s">
        <v>143</v>
      </c>
      <c r="D46" s="23" t="s">
        <v>151</v>
      </c>
      <c r="E46" s="23" t="s">
        <v>152</v>
      </c>
      <c r="F46" s="23" t="s">
        <v>157</v>
      </c>
      <c r="G46" s="23" t="s">
        <v>19</v>
      </c>
      <c r="H46" s="23">
        <v>4</v>
      </c>
      <c r="I46" s="23">
        <f>ROUND(H46*测算依据!$B$6/测算依据!$B$7,0)</f>
        <v>3</v>
      </c>
      <c r="J46" s="23">
        <f t="shared" si="0"/>
        <v>27</v>
      </c>
      <c r="K46" s="25" t="s">
        <v>20</v>
      </c>
      <c r="L46" s="28" t="s">
        <v>39</v>
      </c>
      <c r="M46" s="27" t="s">
        <v>129</v>
      </c>
      <c r="N46" s="27" t="s">
        <v>158</v>
      </c>
    </row>
    <row r="47" s="18" customFormat="1" ht="18" customHeight="1" spans="1:14">
      <c r="A47" s="23">
        <v>47</v>
      </c>
      <c r="B47" s="23" t="s">
        <v>114</v>
      </c>
      <c r="C47" s="23" t="s">
        <v>143</v>
      </c>
      <c r="D47" s="23" t="s">
        <v>159</v>
      </c>
      <c r="E47" s="23" t="s">
        <v>89</v>
      </c>
      <c r="F47" s="23" t="s">
        <v>160</v>
      </c>
      <c r="G47" s="23" t="s">
        <v>19</v>
      </c>
      <c r="H47" s="23">
        <v>4</v>
      </c>
      <c r="I47" s="23">
        <f>ROUND(H47*测算依据!$B$6/测算依据!$B$7,0)</f>
        <v>3</v>
      </c>
      <c r="J47" s="23">
        <f t="shared" si="0"/>
        <v>27</v>
      </c>
      <c r="K47" s="25" t="s">
        <v>20</v>
      </c>
      <c r="L47" s="28" t="s">
        <v>39</v>
      </c>
      <c r="M47" s="27" t="s">
        <v>129</v>
      </c>
      <c r="N47" s="27" t="s">
        <v>161</v>
      </c>
    </row>
    <row r="48" s="18" customFormat="1" ht="18" customHeight="1" spans="1:14">
      <c r="A48" s="23">
        <v>48</v>
      </c>
      <c r="B48" s="23" t="s">
        <v>114</v>
      </c>
      <c r="C48" s="23" t="s">
        <v>143</v>
      </c>
      <c r="D48" s="23" t="s">
        <v>162</v>
      </c>
      <c r="E48" s="23" t="s">
        <v>25</v>
      </c>
      <c r="F48" s="23" t="s">
        <v>163</v>
      </c>
      <c r="G48" s="23" t="s">
        <v>19</v>
      </c>
      <c r="H48" s="23">
        <v>4</v>
      </c>
      <c r="I48" s="23">
        <f>ROUND(H48*测算依据!$B$6/测算依据!$B$7,0)</f>
        <v>3</v>
      </c>
      <c r="J48" s="23">
        <f t="shared" si="0"/>
        <v>27</v>
      </c>
      <c r="K48" s="25" t="s">
        <v>20</v>
      </c>
      <c r="L48" s="28" t="s">
        <v>39</v>
      </c>
      <c r="M48" s="27" t="s">
        <v>129</v>
      </c>
      <c r="N48" s="27" t="s">
        <v>164</v>
      </c>
    </row>
    <row r="49" s="18" customFormat="1" ht="18" customHeight="1" spans="1:14">
      <c r="A49" s="23">
        <v>49</v>
      </c>
      <c r="B49" s="23" t="s">
        <v>114</v>
      </c>
      <c r="C49" s="23" t="s">
        <v>165</v>
      </c>
      <c r="D49" s="23" t="s">
        <v>166</v>
      </c>
      <c r="E49" s="23" t="s">
        <v>89</v>
      </c>
      <c r="F49" s="23" t="s">
        <v>167</v>
      </c>
      <c r="G49" s="23" t="s">
        <v>45</v>
      </c>
      <c r="H49" s="23">
        <v>5</v>
      </c>
      <c r="I49" s="23">
        <f>ROUND(H49*测算依据!$B$6/测算依据!$B$7,0)</f>
        <v>4</v>
      </c>
      <c r="J49" s="23">
        <f t="shared" si="0"/>
        <v>25</v>
      </c>
      <c r="K49" s="25" t="s">
        <v>20</v>
      </c>
      <c r="L49" s="26" t="s">
        <v>21</v>
      </c>
      <c r="M49" s="27" t="s">
        <v>168</v>
      </c>
      <c r="N49" s="27" t="s">
        <v>169</v>
      </c>
    </row>
    <row r="50" s="18" customFormat="1" ht="18" customHeight="1" spans="1:14">
      <c r="A50" s="23">
        <v>50</v>
      </c>
      <c r="B50" s="23" t="s">
        <v>114</v>
      </c>
      <c r="C50" s="23" t="s">
        <v>165</v>
      </c>
      <c r="D50" s="23" t="s">
        <v>166</v>
      </c>
      <c r="E50" s="23" t="s">
        <v>89</v>
      </c>
      <c r="F50" s="23" t="s">
        <v>170</v>
      </c>
      <c r="G50" s="23" t="s">
        <v>45</v>
      </c>
      <c r="H50" s="23">
        <v>5</v>
      </c>
      <c r="I50" s="23">
        <f>ROUND(H50*测算依据!$B$6/测算依据!$B$7,0)</f>
        <v>4</v>
      </c>
      <c r="J50" s="23">
        <f t="shared" si="0"/>
        <v>25</v>
      </c>
      <c r="K50" s="25" t="s">
        <v>20</v>
      </c>
      <c r="L50" s="28" t="s">
        <v>39</v>
      </c>
      <c r="M50" s="27" t="s">
        <v>129</v>
      </c>
      <c r="N50" s="27" t="s">
        <v>171</v>
      </c>
    </row>
    <row r="51" s="18" customFormat="1" ht="18" customHeight="1" spans="1:14">
      <c r="A51" s="23">
        <v>51</v>
      </c>
      <c r="B51" s="23" t="s">
        <v>114</v>
      </c>
      <c r="C51" s="23" t="s">
        <v>165</v>
      </c>
      <c r="D51" s="23" t="s">
        <v>166</v>
      </c>
      <c r="E51" s="23" t="s">
        <v>89</v>
      </c>
      <c r="F51" s="23" t="s">
        <v>172</v>
      </c>
      <c r="G51" s="23" t="s">
        <v>45</v>
      </c>
      <c r="H51" s="23">
        <v>5</v>
      </c>
      <c r="I51" s="23">
        <f>ROUND(H51*测算依据!$B$6/测算依据!$B$7,0)</f>
        <v>4</v>
      </c>
      <c r="J51" s="23">
        <f t="shared" si="0"/>
        <v>25</v>
      </c>
      <c r="K51" s="25" t="s">
        <v>20</v>
      </c>
      <c r="L51" s="28" t="s">
        <v>39</v>
      </c>
      <c r="M51" s="27" t="s">
        <v>129</v>
      </c>
      <c r="N51" s="27" t="s">
        <v>171</v>
      </c>
    </row>
    <row r="52" s="18" customFormat="1" ht="18" customHeight="1" spans="1:14">
      <c r="A52" s="23">
        <v>52</v>
      </c>
      <c r="B52" s="23" t="s">
        <v>114</v>
      </c>
      <c r="C52" s="23" t="s">
        <v>165</v>
      </c>
      <c r="D52" s="23" t="s">
        <v>173</v>
      </c>
      <c r="E52" s="23" t="s">
        <v>89</v>
      </c>
      <c r="F52" s="23" t="s">
        <v>174</v>
      </c>
      <c r="G52" s="23" t="s">
        <v>45</v>
      </c>
      <c r="H52" s="23">
        <v>5</v>
      </c>
      <c r="I52" s="23">
        <f>ROUND(H52*测算依据!$B$6/测算依据!$B$7,0)</f>
        <v>4</v>
      </c>
      <c r="J52" s="23">
        <f t="shared" si="0"/>
        <v>25</v>
      </c>
      <c r="K52" s="25" t="s">
        <v>20</v>
      </c>
      <c r="L52" s="28" t="s">
        <v>39</v>
      </c>
      <c r="M52" s="27" t="s">
        <v>118</v>
      </c>
      <c r="N52" s="27" t="s">
        <v>175</v>
      </c>
    </row>
    <row r="53" s="18" customFormat="1" ht="18" customHeight="1" spans="1:14">
      <c r="A53" s="23">
        <v>53</v>
      </c>
      <c r="B53" s="23" t="s">
        <v>114</v>
      </c>
      <c r="C53" s="23" t="s">
        <v>165</v>
      </c>
      <c r="D53" s="23" t="s">
        <v>176</v>
      </c>
      <c r="E53" s="23" t="s">
        <v>177</v>
      </c>
      <c r="F53" s="23" t="s">
        <v>178</v>
      </c>
      <c r="G53" s="23" t="s">
        <v>19</v>
      </c>
      <c r="H53" s="23">
        <v>4</v>
      </c>
      <c r="I53" s="23">
        <f>ROUND(H53*测算依据!$B$6/测算依据!$B$7,0)</f>
        <v>3</v>
      </c>
      <c r="J53" s="23">
        <f t="shared" si="0"/>
        <v>25</v>
      </c>
      <c r="K53" s="25" t="s">
        <v>20</v>
      </c>
      <c r="L53" s="28" t="s">
        <v>39</v>
      </c>
      <c r="M53" s="27" t="s">
        <v>118</v>
      </c>
      <c r="N53" s="27" t="s">
        <v>175</v>
      </c>
    </row>
    <row r="54" s="18" customFormat="1" ht="18" customHeight="1" spans="1:14">
      <c r="A54" s="23">
        <v>54</v>
      </c>
      <c r="B54" s="23" t="s">
        <v>114</v>
      </c>
      <c r="C54" s="23" t="s">
        <v>165</v>
      </c>
      <c r="D54" s="23" t="s">
        <v>176</v>
      </c>
      <c r="E54" s="23" t="s">
        <v>177</v>
      </c>
      <c r="F54" s="23" t="s">
        <v>179</v>
      </c>
      <c r="G54" s="23" t="s">
        <v>19</v>
      </c>
      <c r="H54" s="23">
        <v>4</v>
      </c>
      <c r="I54" s="23">
        <f>ROUND(H54*测算依据!$B$6/测算依据!$B$7,0)</f>
        <v>3</v>
      </c>
      <c r="J54" s="23">
        <f t="shared" si="0"/>
        <v>25</v>
      </c>
      <c r="K54" s="25" t="s">
        <v>20</v>
      </c>
      <c r="L54" s="28" t="s">
        <v>39</v>
      </c>
      <c r="M54" s="27" t="s">
        <v>118</v>
      </c>
      <c r="N54" s="27" t="s">
        <v>175</v>
      </c>
    </row>
    <row r="55" s="18" customFormat="1" ht="18" customHeight="1" spans="1:14">
      <c r="A55" s="23">
        <v>55</v>
      </c>
      <c r="B55" s="23" t="s">
        <v>114</v>
      </c>
      <c r="C55" s="23" t="s">
        <v>165</v>
      </c>
      <c r="D55" s="23" t="s">
        <v>176</v>
      </c>
      <c r="E55" s="23" t="s">
        <v>177</v>
      </c>
      <c r="F55" s="23" t="s">
        <v>180</v>
      </c>
      <c r="G55" s="23" t="s">
        <v>19</v>
      </c>
      <c r="H55" s="23">
        <v>4</v>
      </c>
      <c r="I55" s="23">
        <f>ROUND(H55*测算依据!$B$6/测算依据!$B$7,0)</f>
        <v>3</v>
      </c>
      <c r="J55" s="23">
        <f t="shared" si="0"/>
        <v>25</v>
      </c>
      <c r="K55" s="25" t="s">
        <v>20</v>
      </c>
      <c r="L55" s="28" t="s">
        <v>39</v>
      </c>
      <c r="M55" s="27" t="s">
        <v>118</v>
      </c>
      <c r="N55" s="27" t="s">
        <v>175</v>
      </c>
    </row>
    <row r="56" s="18" customFormat="1" ht="18" customHeight="1" spans="1:14">
      <c r="A56" s="23">
        <v>56</v>
      </c>
      <c r="B56" s="23" t="s">
        <v>114</v>
      </c>
      <c r="C56" s="24" t="s">
        <v>181</v>
      </c>
      <c r="D56" s="24" t="s">
        <v>182</v>
      </c>
      <c r="E56" s="23" t="s">
        <v>89</v>
      </c>
      <c r="F56" s="23" t="s">
        <v>183</v>
      </c>
      <c r="G56" s="23" t="s">
        <v>45</v>
      </c>
      <c r="H56" s="23">
        <v>5</v>
      </c>
      <c r="I56" s="23">
        <f>ROUND(H56*测算依据!$B$6/测算依据!$B$7,0)</f>
        <v>4</v>
      </c>
      <c r="J56" s="23">
        <f t="shared" si="0"/>
        <v>23</v>
      </c>
      <c r="K56" s="25" t="s">
        <v>20</v>
      </c>
      <c r="L56" s="28" t="s">
        <v>39</v>
      </c>
      <c r="M56" s="27" t="s">
        <v>118</v>
      </c>
      <c r="N56" s="27" t="s">
        <v>184</v>
      </c>
    </row>
    <row r="57" s="18" customFormat="1" ht="18" customHeight="1" spans="1:14">
      <c r="A57" s="23">
        <v>57</v>
      </c>
      <c r="B57" s="23" t="s">
        <v>114</v>
      </c>
      <c r="C57" s="24" t="s">
        <v>181</v>
      </c>
      <c r="D57" s="24" t="s">
        <v>182</v>
      </c>
      <c r="E57" s="23" t="s">
        <v>89</v>
      </c>
      <c r="F57" s="23" t="s">
        <v>185</v>
      </c>
      <c r="G57" s="23" t="s">
        <v>45</v>
      </c>
      <c r="H57" s="23">
        <v>5</v>
      </c>
      <c r="I57" s="23">
        <f>ROUND(H57*测算依据!$B$6/测算依据!$B$7,0)</f>
        <v>4</v>
      </c>
      <c r="J57" s="23">
        <f t="shared" si="0"/>
        <v>23</v>
      </c>
      <c r="K57" s="25" t="s">
        <v>20</v>
      </c>
      <c r="L57" s="28" t="s">
        <v>39</v>
      </c>
      <c r="M57" s="27" t="s">
        <v>118</v>
      </c>
      <c r="N57" s="27" t="s">
        <v>184</v>
      </c>
    </row>
    <row r="58" s="18" customFormat="1" ht="18" customHeight="1" spans="1:14">
      <c r="A58" s="23">
        <v>58</v>
      </c>
      <c r="B58" s="23" t="s">
        <v>114</v>
      </c>
      <c r="C58" s="24" t="s">
        <v>181</v>
      </c>
      <c r="D58" s="24" t="s">
        <v>182</v>
      </c>
      <c r="E58" s="23" t="s">
        <v>89</v>
      </c>
      <c r="F58" s="23" t="s">
        <v>186</v>
      </c>
      <c r="G58" s="23" t="s">
        <v>45</v>
      </c>
      <c r="H58" s="23">
        <v>5</v>
      </c>
      <c r="I58" s="23">
        <f>ROUND(H58*测算依据!$B$6/测算依据!$B$7,0)</f>
        <v>4</v>
      </c>
      <c r="J58" s="23">
        <f t="shared" si="0"/>
        <v>23</v>
      </c>
      <c r="K58" s="25" t="s">
        <v>20</v>
      </c>
      <c r="L58" s="28" t="s">
        <v>39</v>
      </c>
      <c r="M58" s="27" t="s">
        <v>118</v>
      </c>
      <c r="N58" s="27" t="s">
        <v>184</v>
      </c>
    </row>
    <row r="59" s="18" customFormat="1" ht="18" customHeight="1" spans="1:14">
      <c r="A59" s="23">
        <v>59</v>
      </c>
      <c r="B59" s="23" t="s">
        <v>114</v>
      </c>
      <c r="C59" s="24" t="s">
        <v>181</v>
      </c>
      <c r="D59" s="24" t="s">
        <v>187</v>
      </c>
      <c r="E59" s="23" t="s">
        <v>89</v>
      </c>
      <c r="F59" s="23" t="s">
        <v>188</v>
      </c>
      <c r="G59" s="23" t="s">
        <v>45</v>
      </c>
      <c r="H59" s="23">
        <v>5</v>
      </c>
      <c r="I59" s="23">
        <f>ROUND(H59*测算依据!$B$6/测算依据!$B$7,0)</f>
        <v>4</v>
      </c>
      <c r="J59" s="23">
        <f t="shared" si="0"/>
        <v>23</v>
      </c>
      <c r="K59" s="25" t="s">
        <v>20</v>
      </c>
      <c r="L59" s="28" t="s">
        <v>39</v>
      </c>
      <c r="M59" s="27" t="s">
        <v>118</v>
      </c>
      <c r="N59" s="27" t="s">
        <v>189</v>
      </c>
    </row>
    <row r="60" s="18" customFormat="1" ht="18" customHeight="1" spans="1:14">
      <c r="A60" s="23">
        <v>60</v>
      </c>
      <c r="B60" s="23" t="s">
        <v>114</v>
      </c>
      <c r="C60" s="24" t="s">
        <v>181</v>
      </c>
      <c r="D60" s="23" t="s">
        <v>190</v>
      </c>
      <c r="E60" s="23" t="s">
        <v>177</v>
      </c>
      <c r="F60" s="23" t="s">
        <v>191</v>
      </c>
      <c r="G60" s="23" t="s">
        <v>45</v>
      </c>
      <c r="H60" s="23">
        <v>5</v>
      </c>
      <c r="I60" s="23">
        <f>ROUND(H60*测算依据!$B$6/测算依据!$B$7,0)</f>
        <v>4</v>
      </c>
      <c r="J60" s="23">
        <f t="shared" si="0"/>
        <v>23</v>
      </c>
      <c r="K60" s="25" t="s">
        <v>20</v>
      </c>
      <c r="L60" s="28" t="s">
        <v>39</v>
      </c>
      <c r="M60" s="27" t="s">
        <v>118</v>
      </c>
      <c r="N60" s="27" t="s">
        <v>192</v>
      </c>
    </row>
    <row r="61" s="18" customFormat="1" ht="18" customHeight="1" spans="1:14">
      <c r="A61" s="23">
        <v>61</v>
      </c>
      <c r="B61" s="23" t="s">
        <v>114</v>
      </c>
      <c r="C61" s="24" t="s">
        <v>181</v>
      </c>
      <c r="D61" s="23" t="s">
        <v>190</v>
      </c>
      <c r="E61" s="23" t="s">
        <v>193</v>
      </c>
      <c r="F61" s="23" t="s">
        <v>194</v>
      </c>
      <c r="G61" s="23" t="s">
        <v>19</v>
      </c>
      <c r="H61" s="23">
        <v>4</v>
      </c>
      <c r="I61" s="23">
        <f>ROUND(H61*测算依据!$B$6/测算依据!$B$7,0)</f>
        <v>3</v>
      </c>
      <c r="J61" s="23">
        <f t="shared" si="0"/>
        <v>23</v>
      </c>
      <c r="K61" s="25" t="s">
        <v>20</v>
      </c>
      <c r="L61" s="28" t="s">
        <v>39</v>
      </c>
      <c r="M61" s="27" t="s">
        <v>118</v>
      </c>
      <c r="N61" s="27" t="s">
        <v>192</v>
      </c>
    </row>
    <row r="62" s="18" customFormat="1" ht="18" customHeight="1" spans="1:14">
      <c r="A62" s="23">
        <v>62</v>
      </c>
      <c r="B62" s="23" t="s">
        <v>114</v>
      </c>
      <c r="C62" s="23" t="s">
        <v>195</v>
      </c>
      <c r="D62" s="23" t="s">
        <v>196</v>
      </c>
      <c r="E62" s="23" t="s">
        <v>89</v>
      </c>
      <c r="F62" s="23" t="s">
        <v>197</v>
      </c>
      <c r="G62" s="23" t="s">
        <v>19</v>
      </c>
      <c r="H62" s="23">
        <v>4</v>
      </c>
      <c r="I62" s="23">
        <f>ROUND(H62*测算依据!$B$6/测算依据!$B$7,0)</f>
        <v>3</v>
      </c>
      <c r="J62" s="23">
        <f t="shared" si="0"/>
        <v>26</v>
      </c>
      <c r="K62" s="25" t="s">
        <v>20</v>
      </c>
      <c r="L62" s="28" t="s">
        <v>39</v>
      </c>
      <c r="M62" s="27" t="s">
        <v>129</v>
      </c>
      <c r="N62" s="27" t="s">
        <v>198</v>
      </c>
    </row>
    <row r="63" s="18" customFormat="1" ht="18" customHeight="1" spans="1:14">
      <c r="A63" s="23">
        <v>63</v>
      </c>
      <c r="B63" s="23" t="s">
        <v>114</v>
      </c>
      <c r="C63" s="23" t="s">
        <v>195</v>
      </c>
      <c r="D63" s="23" t="s">
        <v>196</v>
      </c>
      <c r="E63" s="23" t="s">
        <v>89</v>
      </c>
      <c r="F63" s="23" t="s">
        <v>199</v>
      </c>
      <c r="G63" s="23" t="s">
        <v>19</v>
      </c>
      <c r="H63" s="23">
        <v>4</v>
      </c>
      <c r="I63" s="23">
        <f>ROUND(H63*测算依据!$B$6/测算依据!$B$7,0)</f>
        <v>3</v>
      </c>
      <c r="J63" s="23">
        <f t="shared" si="0"/>
        <v>26</v>
      </c>
      <c r="K63" s="25" t="s">
        <v>20</v>
      </c>
      <c r="L63" s="28" t="s">
        <v>39</v>
      </c>
      <c r="M63" s="27" t="s">
        <v>129</v>
      </c>
      <c r="N63" s="27" t="s">
        <v>198</v>
      </c>
    </row>
    <row r="64" s="18" customFormat="1" ht="18" customHeight="1" spans="1:14">
      <c r="A64" s="23">
        <v>64</v>
      </c>
      <c r="B64" s="23" t="s">
        <v>114</v>
      </c>
      <c r="C64" s="23" t="s">
        <v>195</v>
      </c>
      <c r="D64" s="23" t="s">
        <v>200</v>
      </c>
      <c r="E64" s="23" t="s">
        <v>201</v>
      </c>
      <c r="F64" s="23" t="s">
        <v>202</v>
      </c>
      <c r="G64" s="23" t="s">
        <v>45</v>
      </c>
      <c r="H64" s="23">
        <v>5</v>
      </c>
      <c r="I64" s="23">
        <f>ROUND(H64*测算依据!$B$6/测算依据!$B$7,0)</f>
        <v>4</v>
      </c>
      <c r="J64" s="23">
        <f t="shared" si="0"/>
        <v>26</v>
      </c>
      <c r="K64" s="25" t="s">
        <v>20</v>
      </c>
      <c r="L64" s="28" t="s">
        <v>39</v>
      </c>
      <c r="M64" s="27" t="s">
        <v>129</v>
      </c>
      <c r="N64" s="27" t="s">
        <v>198</v>
      </c>
    </row>
    <row r="65" s="18" customFormat="1" ht="18" customHeight="1" spans="1:14">
      <c r="A65" s="23">
        <v>65</v>
      </c>
      <c r="B65" s="23" t="s">
        <v>114</v>
      </c>
      <c r="C65" s="23" t="s">
        <v>195</v>
      </c>
      <c r="D65" s="23" t="s">
        <v>200</v>
      </c>
      <c r="E65" s="23" t="s">
        <v>201</v>
      </c>
      <c r="F65" s="23" t="s">
        <v>203</v>
      </c>
      <c r="G65" s="23" t="s">
        <v>45</v>
      </c>
      <c r="H65" s="23">
        <v>5</v>
      </c>
      <c r="I65" s="23">
        <f>ROUND(H65*测算依据!$B$6/测算依据!$B$7,0)</f>
        <v>4</v>
      </c>
      <c r="J65" s="23">
        <f>SUMIFS($I$2:$I$273,$B$2:$B$273,B65,$C$2:$C$273,C65)</f>
        <v>26</v>
      </c>
      <c r="K65" s="25" t="s">
        <v>20</v>
      </c>
      <c r="L65" s="28" t="s">
        <v>39</v>
      </c>
      <c r="M65" s="27" t="s">
        <v>129</v>
      </c>
      <c r="N65" s="27" t="s">
        <v>198</v>
      </c>
    </row>
    <row r="66" s="18" customFormat="1" ht="18" customHeight="1" spans="1:14">
      <c r="A66" s="23">
        <v>66</v>
      </c>
      <c r="B66" s="23" t="s">
        <v>114</v>
      </c>
      <c r="C66" s="23" t="s">
        <v>195</v>
      </c>
      <c r="D66" s="23" t="s">
        <v>204</v>
      </c>
      <c r="E66" s="23" t="s">
        <v>76</v>
      </c>
      <c r="F66" s="23" t="s">
        <v>205</v>
      </c>
      <c r="G66" s="23" t="s">
        <v>31</v>
      </c>
      <c r="H66" s="23">
        <v>4</v>
      </c>
      <c r="I66" s="23">
        <f>ROUND(H66*测算依据!$B$6/测算依据!$B$7,0)</f>
        <v>3</v>
      </c>
      <c r="J66" s="23">
        <f>SUMIFS($I$2:$I$273,$B$2:$B$273,B66,$C$2:$C$273,C66)</f>
        <v>26</v>
      </c>
      <c r="K66" s="25" t="s">
        <v>20</v>
      </c>
      <c r="L66" s="28" t="s">
        <v>39</v>
      </c>
      <c r="M66" s="27" t="s">
        <v>206</v>
      </c>
      <c r="N66" s="27" t="s">
        <v>207</v>
      </c>
    </row>
    <row r="67" s="18" customFormat="1" ht="18" customHeight="1" spans="1:14">
      <c r="A67" s="23">
        <v>67</v>
      </c>
      <c r="B67" s="23" t="s">
        <v>114</v>
      </c>
      <c r="C67" s="23" t="s">
        <v>195</v>
      </c>
      <c r="D67" s="23" t="s">
        <v>204</v>
      </c>
      <c r="E67" s="23" t="s">
        <v>76</v>
      </c>
      <c r="F67" s="23" t="s">
        <v>208</v>
      </c>
      <c r="G67" s="23" t="s">
        <v>31</v>
      </c>
      <c r="H67" s="23">
        <v>4</v>
      </c>
      <c r="I67" s="23">
        <f>ROUND(H67*测算依据!$B$6/测算依据!$B$7,0)</f>
        <v>3</v>
      </c>
      <c r="J67" s="23">
        <f>SUMIFS($I$2:$I$273,$B$2:$B$273,B67,$C$2:$C$273,C67)</f>
        <v>26</v>
      </c>
      <c r="K67" s="25" t="s">
        <v>20</v>
      </c>
      <c r="L67" s="28" t="s">
        <v>39</v>
      </c>
      <c r="M67" s="27" t="s">
        <v>206</v>
      </c>
      <c r="N67" s="27" t="s">
        <v>207</v>
      </c>
    </row>
    <row r="68" s="18" customFormat="1" ht="18" customHeight="1" spans="1:14">
      <c r="A68" s="23">
        <v>68</v>
      </c>
      <c r="B68" s="23" t="s">
        <v>114</v>
      </c>
      <c r="C68" s="23" t="s">
        <v>195</v>
      </c>
      <c r="D68" s="23" t="s">
        <v>204</v>
      </c>
      <c r="E68" s="23" t="s">
        <v>209</v>
      </c>
      <c r="F68" s="23" t="s">
        <v>210</v>
      </c>
      <c r="G68" s="23" t="s">
        <v>31</v>
      </c>
      <c r="H68" s="23">
        <v>4</v>
      </c>
      <c r="I68" s="23">
        <f>ROUND(H68*测算依据!$B$6/测算依据!$B$7,0)</f>
        <v>3</v>
      </c>
      <c r="J68" s="23">
        <f>SUMIFS($I$2:$I$273,$B$2:$B$273,B68,$C$2:$C$273,C68)</f>
        <v>26</v>
      </c>
      <c r="K68" s="25" t="s">
        <v>20</v>
      </c>
      <c r="L68" s="28" t="s">
        <v>39</v>
      </c>
      <c r="M68" s="27" t="s">
        <v>206</v>
      </c>
      <c r="N68" s="27" t="s">
        <v>207</v>
      </c>
    </row>
    <row r="69" s="18" customFormat="1" ht="18" customHeight="1" spans="1:14">
      <c r="A69" s="23">
        <v>69</v>
      </c>
      <c r="B69" s="23" t="s">
        <v>114</v>
      </c>
      <c r="C69" s="23" t="s">
        <v>195</v>
      </c>
      <c r="D69" s="23" t="s">
        <v>204</v>
      </c>
      <c r="E69" s="23" t="s">
        <v>211</v>
      </c>
      <c r="F69" s="23" t="s">
        <v>212</v>
      </c>
      <c r="G69" s="23" t="s">
        <v>31</v>
      </c>
      <c r="H69" s="23">
        <v>4</v>
      </c>
      <c r="I69" s="23">
        <f>ROUND(H69*测算依据!$B$6/测算依据!$B$7,0)</f>
        <v>3</v>
      </c>
      <c r="J69" s="23">
        <f>SUMIFS($I$2:$I$273,$B$2:$B$273,B69,$C$2:$C$273,C69)</f>
        <v>26</v>
      </c>
      <c r="K69" s="25" t="s">
        <v>20</v>
      </c>
      <c r="L69" s="28" t="s">
        <v>39</v>
      </c>
      <c r="M69" s="27" t="s">
        <v>206</v>
      </c>
      <c r="N69" s="27" t="s">
        <v>207</v>
      </c>
    </row>
    <row r="70" s="18" customFormat="1" ht="18" customHeight="1" spans="1:14">
      <c r="A70" s="23">
        <v>70</v>
      </c>
      <c r="B70" s="23" t="s">
        <v>114</v>
      </c>
      <c r="C70" s="24" t="s">
        <v>213</v>
      </c>
      <c r="D70" s="23" t="s">
        <v>214</v>
      </c>
      <c r="E70" s="23" t="s">
        <v>89</v>
      </c>
      <c r="F70" s="23" t="s">
        <v>215</v>
      </c>
      <c r="G70" s="23" t="s">
        <v>45</v>
      </c>
      <c r="H70" s="23">
        <v>5</v>
      </c>
      <c r="I70" s="23">
        <f>ROUND(H70*测算依据!$B$6/测算依据!$B$7,0)</f>
        <v>4</v>
      </c>
      <c r="J70" s="23">
        <f>SUMIFS($I$2:$I$273,$B$2:$B$273,B70,$C$2:$C$273,C70)</f>
        <v>32</v>
      </c>
      <c r="K70" s="25" t="s">
        <v>20</v>
      </c>
      <c r="L70" s="26" t="s">
        <v>21</v>
      </c>
      <c r="M70" s="27" t="s">
        <v>129</v>
      </c>
      <c r="N70" s="27" t="s">
        <v>216</v>
      </c>
    </row>
    <row r="71" s="18" customFormat="1" ht="18" customHeight="1" spans="1:14">
      <c r="A71" s="23">
        <v>71</v>
      </c>
      <c r="B71" s="23" t="s">
        <v>114</v>
      </c>
      <c r="C71" s="24" t="s">
        <v>213</v>
      </c>
      <c r="D71" s="23" t="s">
        <v>217</v>
      </c>
      <c r="E71" s="23" t="s">
        <v>89</v>
      </c>
      <c r="F71" s="23" t="s">
        <v>218</v>
      </c>
      <c r="G71" s="23" t="s">
        <v>45</v>
      </c>
      <c r="H71" s="23">
        <v>5</v>
      </c>
      <c r="I71" s="23">
        <f>ROUND(H71*测算依据!$B$6/测算依据!$B$7,0)</f>
        <v>4</v>
      </c>
      <c r="J71" s="23">
        <f>SUMIFS($I$2:$I$273,$B$2:$B$273,B71,$C$2:$C$273,C71)</f>
        <v>32</v>
      </c>
      <c r="K71" s="25" t="s">
        <v>20</v>
      </c>
      <c r="L71" s="28" t="s">
        <v>39</v>
      </c>
      <c r="M71" s="27" t="s">
        <v>129</v>
      </c>
      <c r="N71" s="27" t="s">
        <v>219</v>
      </c>
    </row>
    <row r="72" s="18" customFormat="1" ht="18" customHeight="1" spans="1:14">
      <c r="A72" s="23">
        <v>72</v>
      </c>
      <c r="B72" s="23" t="s">
        <v>114</v>
      </c>
      <c r="C72" s="24" t="s">
        <v>213</v>
      </c>
      <c r="D72" s="23" t="s">
        <v>217</v>
      </c>
      <c r="E72" s="23" t="s">
        <v>89</v>
      </c>
      <c r="F72" s="23" t="s">
        <v>220</v>
      </c>
      <c r="G72" s="23" t="s">
        <v>45</v>
      </c>
      <c r="H72" s="23">
        <v>5</v>
      </c>
      <c r="I72" s="23">
        <f>ROUND(H72*测算依据!$B$6/测算依据!$B$7,0)</f>
        <v>4</v>
      </c>
      <c r="J72" s="23">
        <f>SUMIFS($I$2:$I$273,$B$2:$B$273,B72,$C$2:$C$273,C72)</f>
        <v>32</v>
      </c>
      <c r="K72" s="25" t="s">
        <v>20</v>
      </c>
      <c r="L72" s="28" t="s">
        <v>39</v>
      </c>
      <c r="M72" s="27" t="s">
        <v>129</v>
      </c>
      <c r="N72" s="27" t="s">
        <v>219</v>
      </c>
    </row>
    <row r="73" s="18" customFormat="1" ht="18" customHeight="1" spans="1:14">
      <c r="A73" s="23">
        <v>73</v>
      </c>
      <c r="B73" s="23" t="s">
        <v>114</v>
      </c>
      <c r="C73" s="24" t="s">
        <v>213</v>
      </c>
      <c r="D73" s="23" t="s">
        <v>217</v>
      </c>
      <c r="E73" s="23" t="s">
        <v>89</v>
      </c>
      <c r="F73" s="23" t="s">
        <v>221</v>
      </c>
      <c r="G73" s="23" t="s">
        <v>45</v>
      </c>
      <c r="H73" s="23">
        <v>5</v>
      </c>
      <c r="I73" s="23">
        <f>ROUND(H73*测算依据!$B$6/测算依据!$B$7,0)</f>
        <v>4</v>
      </c>
      <c r="J73" s="23">
        <f>SUMIFS($I$2:$I$273,$B$2:$B$273,B73,$C$2:$C$273,C73)</f>
        <v>32</v>
      </c>
      <c r="K73" s="25" t="s">
        <v>20</v>
      </c>
      <c r="L73" s="28" t="s">
        <v>39</v>
      </c>
      <c r="M73" s="27" t="s">
        <v>129</v>
      </c>
      <c r="N73" s="27" t="s">
        <v>219</v>
      </c>
    </row>
    <row r="74" s="18" customFormat="1" ht="18" customHeight="1" spans="1:14">
      <c r="A74" s="23">
        <v>74</v>
      </c>
      <c r="B74" s="23" t="s">
        <v>114</v>
      </c>
      <c r="C74" s="24" t="s">
        <v>213</v>
      </c>
      <c r="D74" s="23" t="s">
        <v>217</v>
      </c>
      <c r="E74" s="23" t="s">
        <v>89</v>
      </c>
      <c r="F74" s="23" t="s">
        <v>222</v>
      </c>
      <c r="G74" s="23" t="s">
        <v>45</v>
      </c>
      <c r="H74" s="23">
        <v>5</v>
      </c>
      <c r="I74" s="23">
        <f>ROUND(H74*测算依据!$B$6/测算依据!$B$7,0)</f>
        <v>4</v>
      </c>
      <c r="J74" s="23">
        <f>SUMIFS($I$2:$I$273,$B$2:$B$273,B74,$C$2:$C$273,C74)</f>
        <v>32</v>
      </c>
      <c r="K74" s="25" t="s">
        <v>20</v>
      </c>
      <c r="L74" s="28" t="s">
        <v>39</v>
      </c>
      <c r="M74" s="27" t="s">
        <v>129</v>
      </c>
      <c r="N74" s="27" t="s">
        <v>219</v>
      </c>
    </row>
    <row r="75" s="18" customFormat="1" ht="18" customHeight="1" spans="1:14">
      <c r="A75" s="23">
        <v>75</v>
      </c>
      <c r="B75" s="23" t="s">
        <v>114</v>
      </c>
      <c r="C75" s="24" t="s">
        <v>213</v>
      </c>
      <c r="D75" s="23" t="s">
        <v>223</v>
      </c>
      <c r="E75" s="23" t="s">
        <v>152</v>
      </c>
      <c r="F75" s="23" t="s">
        <v>224</v>
      </c>
      <c r="G75" s="23" t="s">
        <v>19</v>
      </c>
      <c r="H75" s="23">
        <v>4</v>
      </c>
      <c r="I75" s="23">
        <f>ROUND(H75*测算依据!$B$6/测算依据!$B$7,0)</f>
        <v>3</v>
      </c>
      <c r="J75" s="23">
        <f>SUMIFS($I$2:$I$273,$B$2:$B$273,B75,$C$2:$C$273,C75)</f>
        <v>32</v>
      </c>
      <c r="K75" s="25" t="s">
        <v>20</v>
      </c>
      <c r="L75" s="28" t="s">
        <v>39</v>
      </c>
      <c r="M75" s="27" t="s">
        <v>129</v>
      </c>
      <c r="N75" s="27" t="s">
        <v>225</v>
      </c>
    </row>
    <row r="76" s="18" customFormat="1" ht="18" customHeight="1" spans="1:14">
      <c r="A76" s="23">
        <v>76</v>
      </c>
      <c r="B76" s="23" t="s">
        <v>114</v>
      </c>
      <c r="C76" s="24" t="s">
        <v>213</v>
      </c>
      <c r="D76" s="23" t="s">
        <v>223</v>
      </c>
      <c r="E76" s="23" t="s">
        <v>152</v>
      </c>
      <c r="F76" s="23" t="s">
        <v>226</v>
      </c>
      <c r="G76" s="23" t="s">
        <v>19</v>
      </c>
      <c r="H76" s="23">
        <v>4</v>
      </c>
      <c r="I76" s="23">
        <f>ROUND(H76*测算依据!$B$6/测算依据!$B$7,0)</f>
        <v>3</v>
      </c>
      <c r="J76" s="23">
        <f>SUMIFS($I$2:$I$273,$B$2:$B$273,B76,$C$2:$C$273,C76)</f>
        <v>32</v>
      </c>
      <c r="K76" s="25" t="s">
        <v>20</v>
      </c>
      <c r="L76" s="28" t="s">
        <v>39</v>
      </c>
      <c r="M76" s="27" t="s">
        <v>129</v>
      </c>
      <c r="N76" s="27" t="s">
        <v>225</v>
      </c>
    </row>
    <row r="77" s="18" customFormat="1" ht="18" customHeight="1" spans="1:14">
      <c r="A77" s="23">
        <v>77</v>
      </c>
      <c r="B77" s="23" t="s">
        <v>114</v>
      </c>
      <c r="C77" s="24" t="s">
        <v>213</v>
      </c>
      <c r="D77" s="23" t="s">
        <v>223</v>
      </c>
      <c r="E77" s="23" t="s">
        <v>152</v>
      </c>
      <c r="F77" s="23" t="s">
        <v>227</v>
      </c>
      <c r="G77" s="23" t="s">
        <v>19</v>
      </c>
      <c r="H77" s="23">
        <v>4</v>
      </c>
      <c r="I77" s="23">
        <f>ROUND(H77*测算依据!$B$6/测算依据!$B$7,0)</f>
        <v>3</v>
      </c>
      <c r="J77" s="23">
        <f>SUMIFS($I$2:$I$273,$B$2:$B$273,B77,$C$2:$C$273,C77)</f>
        <v>32</v>
      </c>
      <c r="K77" s="25" t="s">
        <v>20</v>
      </c>
      <c r="L77" s="28" t="s">
        <v>39</v>
      </c>
      <c r="M77" s="27" t="s">
        <v>129</v>
      </c>
      <c r="N77" s="27" t="s">
        <v>225</v>
      </c>
    </row>
    <row r="78" s="18" customFormat="1" ht="18" customHeight="1" spans="1:14">
      <c r="A78" s="23">
        <v>78</v>
      </c>
      <c r="B78" s="23" t="s">
        <v>114</v>
      </c>
      <c r="C78" s="24" t="s">
        <v>213</v>
      </c>
      <c r="D78" s="23" t="s">
        <v>223</v>
      </c>
      <c r="E78" s="23" t="s">
        <v>152</v>
      </c>
      <c r="F78" s="23" t="s">
        <v>228</v>
      </c>
      <c r="G78" s="23" t="s">
        <v>19</v>
      </c>
      <c r="H78" s="23">
        <v>4</v>
      </c>
      <c r="I78" s="23">
        <f>ROUND(H78*测算依据!$B$6/测算依据!$B$7,0)</f>
        <v>3</v>
      </c>
      <c r="J78" s="23">
        <f>SUMIFS($I$2:$I$273,$B$2:$B$273,B78,$C$2:$C$273,C78)</f>
        <v>32</v>
      </c>
      <c r="K78" s="25" t="s">
        <v>20</v>
      </c>
      <c r="L78" s="28" t="s">
        <v>39</v>
      </c>
      <c r="M78" s="27" t="s">
        <v>129</v>
      </c>
      <c r="N78" s="27" t="s">
        <v>225</v>
      </c>
    </row>
    <row r="79" s="18" customFormat="1" ht="18" customHeight="1" spans="1:14">
      <c r="A79" s="23">
        <v>79</v>
      </c>
      <c r="B79" s="23" t="s">
        <v>114</v>
      </c>
      <c r="C79" s="24" t="s">
        <v>229</v>
      </c>
      <c r="D79" s="23" t="s">
        <v>230</v>
      </c>
      <c r="E79" s="23" t="s">
        <v>89</v>
      </c>
      <c r="F79" s="24" t="s">
        <v>231</v>
      </c>
      <c r="G79" s="23" t="s">
        <v>45</v>
      </c>
      <c r="H79" s="23">
        <v>5</v>
      </c>
      <c r="I79" s="23">
        <f>ROUND(H79*测算依据!$B$6/测算依据!$B$7,0)</f>
        <v>4</v>
      </c>
      <c r="J79" s="23">
        <f>SUMIFS($I$2:$I$273,$B$2:$B$273,B79,$C$2:$C$273,C79)</f>
        <v>11</v>
      </c>
      <c r="K79" s="25" t="s">
        <v>20</v>
      </c>
      <c r="L79" s="28" t="s">
        <v>39</v>
      </c>
      <c r="M79" s="27" t="s">
        <v>129</v>
      </c>
      <c r="N79" s="27" t="s">
        <v>232</v>
      </c>
    </row>
    <row r="80" s="18" customFormat="1" ht="18" customHeight="1" spans="1:14">
      <c r="A80" s="23">
        <v>80</v>
      </c>
      <c r="B80" s="23" t="s">
        <v>114</v>
      </c>
      <c r="C80" s="24" t="s">
        <v>229</v>
      </c>
      <c r="D80" s="23" t="s">
        <v>230</v>
      </c>
      <c r="E80" s="23" t="s">
        <v>89</v>
      </c>
      <c r="F80" s="23" t="s">
        <v>233</v>
      </c>
      <c r="G80" s="23" t="s">
        <v>45</v>
      </c>
      <c r="H80" s="23">
        <v>5</v>
      </c>
      <c r="I80" s="23">
        <f>ROUND(H80*测算依据!$B$6/测算依据!$B$7,0)</f>
        <v>4</v>
      </c>
      <c r="J80" s="23">
        <f>SUMIFS($I$2:$I$273,$B$2:$B$273,B80,$C$2:$C$273,C80)</f>
        <v>11</v>
      </c>
      <c r="K80" s="25" t="s">
        <v>20</v>
      </c>
      <c r="L80" s="28" t="s">
        <v>39</v>
      </c>
      <c r="M80" s="27" t="s">
        <v>129</v>
      </c>
      <c r="N80" s="27" t="s">
        <v>232</v>
      </c>
    </row>
    <row r="81" s="18" customFormat="1" ht="18" customHeight="1" spans="1:14">
      <c r="A81" s="23">
        <v>83</v>
      </c>
      <c r="B81" s="23" t="s">
        <v>114</v>
      </c>
      <c r="C81" s="24" t="s">
        <v>229</v>
      </c>
      <c r="D81" s="23" t="s">
        <v>234</v>
      </c>
      <c r="E81" s="23" t="s">
        <v>84</v>
      </c>
      <c r="F81" s="24" t="s">
        <v>235</v>
      </c>
      <c r="G81" s="23" t="s">
        <v>19</v>
      </c>
      <c r="H81" s="23">
        <v>4</v>
      </c>
      <c r="I81" s="23">
        <f>ROUND(H81*测算依据!$B$6/测算依据!$B$7,0)</f>
        <v>3</v>
      </c>
      <c r="J81" s="23">
        <f t="shared" ref="J81:J126" si="1">SUMIFS($I$2:$I$273,$B$2:$B$273,B81,$C$2:$C$273,C81)</f>
        <v>11</v>
      </c>
      <c r="K81" s="25" t="s">
        <v>20</v>
      </c>
      <c r="L81" s="28" t="s">
        <v>39</v>
      </c>
      <c r="M81" s="27" t="s">
        <v>129</v>
      </c>
      <c r="N81" s="27" t="s">
        <v>236</v>
      </c>
    </row>
    <row r="82" s="18" customFormat="1" ht="18" customHeight="1" spans="1:14">
      <c r="A82" s="23">
        <v>84</v>
      </c>
      <c r="B82" s="23" t="s">
        <v>114</v>
      </c>
      <c r="C82" s="23" t="s">
        <v>237</v>
      </c>
      <c r="D82" s="23" t="s">
        <v>238</v>
      </c>
      <c r="E82" s="23" t="s">
        <v>89</v>
      </c>
      <c r="F82" s="23" t="s">
        <v>239</v>
      </c>
      <c r="G82" s="23" t="s">
        <v>31</v>
      </c>
      <c r="H82" s="23">
        <v>4</v>
      </c>
      <c r="I82" s="23">
        <f>ROUND(H82*测算依据!$B$6/测算依据!$B$7,0)</f>
        <v>3</v>
      </c>
      <c r="J82" s="23">
        <f t="shared" si="1"/>
        <v>23</v>
      </c>
      <c r="K82" s="25" t="s">
        <v>20</v>
      </c>
      <c r="L82" s="28" t="s">
        <v>39</v>
      </c>
      <c r="M82" s="27" t="s">
        <v>129</v>
      </c>
      <c r="N82" s="27" t="s">
        <v>240</v>
      </c>
    </row>
    <row r="83" s="18" customFormat="1" ht="18" customHeight="1" spans="1:14">
      <c r="A83" s="23">
        <v>85</v>
      </c>
      <c r="B83" s="23" t="s">
        <v>114</v>
      </c>
      <c r="C83" s="23" t="s">
        <v>237</v>
      </c>
      <c r="D83" s="23" t="s">
        <v>238</v>
      </c>
      <c r="E83" s="23" t="s">
        <v>89</v>
      </c>
      <c r="F83" s="23" t="s">
        <v>241</v>
      </c>
      <c r="G83" s="23" t="s">
        <v>31</v>
      </c>
      <c r="H83" s="23">
        <v>4</v>
      </c>
      <c r="I83" s="23">
        <f>ROUND(H83*测算依据!$B$6/测算依据!$B$7,0)</f>
        <v>3</v>
      </c>
      <c r="J83" s="23">
        <f t="shared" si="1"/>
        <v>23</v>
      </c>
      <c r="K83" s="25" t="s">
        <v>20</v>
      </c>
      <c r="L83" s="28" t="s">
        <v>39</v>
      </c>
      <c r="M83" s="27" t="s">
        <v>129</v>
      </c>
      <c r="N83" s="27" t="s">
        <v>242</v>
      </c>
    </row>
    <row r="84" s="18" customFormat="1" ht="18" customHeight="1" spans="1:14">
      <c r="A84" s="23">
        <v>86</v>
      </c>
      <c r="B84" s="23" t="s">
        <v>114</v>
      </c>
      <c r="C84" s="23" t="s">
        <v>237</v>
      </c>
      <c r="D84" s="23" t="s">
        <v>238</v>
      </c>
      <c r="E84" s="23" t="s">
        <v>89</v>
      </c>
      <c r="F84" s="23" t="s">
        <v>243</v>
      </c>
      <c r="G84" s="23" t="s">
        <v>31</v>
      </c>
      <c r="H84" s="23">
        <v>4</v>
      </c>
      <c r="I84" s="23">
        <f>ROUND(H84*测算依据!$B$6/测算依据!$B$7,0)</f>
        <v>3</v>
      </c>
      <c r="J84" s="23">
        <f t="shared" si="1"/>
        <v>23</v>
      </c>
      <c r="K84" s="25" t="s">
        <v>20</v>
      </c>
      <c r="L84" s="28" t="s">
        <v>39</v>
      </c>
      <c r="M84" s="27" t="s">
        <v>129</v>
      </c>
      <c r="N84" s="27" t="s">
        <v>244</v>
      </c>
    </row>
    <row r="85" s="18" customFormat="1" ht="18" customHeight="1" spans="1:14">
      <c r="A85" s="23">
        <v>87</v>
      </c>
      <c r="B85" s="23" t="s">
        <v>114</v>
      </c>
      <c r="C85" s="23" t="s">
        <v>237</v>
      </c>
      <c r="D85" s="23" t="s">
        <v>245</v>
      </c>
      <c r="E85" s="23" t="s">
        <v>89</v>
      </c>
      <c r="F85" s="23" t="s">
        <v>246</v>
      </c>
      <c r="G85" s="23" t="s">
        <v>45</v>
      </c>
      <c r="H85" s="23">
        <v>5</v>
      </c>
      <c r="I85" s="23">
        <f>ROUND(H85*测算依据!$B$6/测算依据!$B$7,0)</f>
        <v>4</v>
      </c>
      <c r="J85" s="23">
        <f t="shared" si="1"/>
        <v>23</v>
      </c>
      <c r="K85" s="25" t="s">
        <v>20</v>
      </c>
      <c r="L85" s="28" t="s">
        <v>39</v>
      </c>
      <c r="M85" s="27" t="s">
        <v>129</v>
      </c>
      <c r="N85" s="27" t="s">
        <v>247</v>
      </c>
    </row>
    <row r="86" s="18" customFormat="1" ht="18" customHeight="1" spans="1:14">
      <c r="A86" s="23">
        <v>88</v>
      </c>
      <c r="B86" s="23" t="s">
        <v>114</v>
      </c>
      <c r="C86" s="23" t="s">
        <v>237</v>
      </c>
      <c r="D86" s="23" t="s">
        <v>245</v>
      </c>
      <c r="E86" s="23" t="s">
        <v>89</v>
      </c>
      <c r="F86" s="23" t="s">
        <v>248</v>
      </c>
      <c r="G86" s="23" t="s">
        <v>45</v>
      </c>
      <c r="H86" s="23">
        <v>5</v>
      </c>
      <c r="I86" s="23">
        <f>ROUND(H86*测算依据!$B$6/测算依据!$B$7,0)</f>
        <v>4</v>
      </c>
      <c r="J86" s="23">
        <f t="shared" si="1"/>
        <v>23</v>
      </c>
      <c r="K86" s="25" t="s">
        <v>20</v>
      </c>
      <c r="L86" s="28" t="s">
        <v>39</v>
      </c>
      <c r="M86" s="27" t="s">
        <v>129</v>
      </c>
      <c r="N86" s="27" t="s">
        <v>249</v>
      </c>
    </row>
    <row r="87" s="18" customFormat="1" ht="18" customHeight="1" spans="1:14">
      <c r="A87" s="23">
        <v>89</v>
      </c>
      <c r="B87" s="23" t="s">
        <v>114</v>
      </c>
      <c r="C87" s="23" t="s">
        <v>237</v>
      </c>
      <c r="D87" s="23" t="s">
        <v>250</v>
      </c>
      <c r="E87" s="23" t="s">
        <v>89</v>
      </c>
      <c r="F87" s="23" t="s">
        <v>251</v>
      </c>
      <c r="G87" s="23" t="s">
        <v>31</v>
      </c>
      <c r="H87" s="23">
        <v>4</v>
      </c>
      <c r="I87" s="23">
        <f>ROUND(H87*测算依据!$B$6/测算依据!$B$7,0)</f>
        <v>3</v>
      </c>
      <c r="J87" s="23">
        <f t="shared" si="1"/>
        <v>23</v>
      </c>
      <c r="K87" s="25" t="s">
        <v>20</v>
      </c>
      <c r="L87" s="28" t="s">
        <v>39</v>
      </c>
      <c r="M87" s="27" t="s">
        <v>129</v>
      </c>
      <c r="N87" s="27" t="s">
        <v>252</v>
      </c>
    </row>
    <row r="88" s="18" customFormat="1" ht="18" customHeight="1" spans="1:14">
      <c r="A88" s="23">
        <v>90</v>
      </c>
      <c r="B88" s="23" t="s">
        <v>114</v>
      </c>
      <c r="C88" s="23" t="s">
        <v>237</v>
      </c>
      <c r="D88" s="23" t="s">
        <v>250</v>
      </c>
      <c r="E88" s="23" t="s">
        <v>89</v>
      </c>
      <c r="F88" s="23" t="s">
        <v>253</v>
      </c>
      <c r="G88" s="23" t="s">
        <v>31</v>
      </c>
      <c r="H88" s="23">
        <v>4</v>
      </c>
      <c r="I88" s="23">
        <f>ROUND(H88*测算依据!$B$6/测算依据!$B$7,0)</f>
        <v>3</v>
      </c>
      <c r="J88" s="23">
        <f t="shared" si="1"/>
        <v>23</v>
      </c>
      <c r="K88" s="25" t="s">
        <v>20</v>
      </c>
      <c r="L88" s="28" t="s">
        <v>39</v>
      </c>
      <c r="M88" s="27" t="s">
        <v>129</v>
      </c>
      <c r="N88" s="27" t="s">
        <v>254</v>
      </c>
    </row>
    <row r="89" s="18" customFormat="1" ht="18" customHeight="1" spans="1:14">
      <c r="A89" s="23">
        <v>91</v>
      </c>
      <c r="B89" s="23" t="s">
        <v>114</v>
      </c>
      <c r="C89" s="23" t="s">
        <v>255</v>
      </c>
      <c r="D89" s="23" t="s">
        <v>256</v>
      </c>
      <c r="E89" s="23" t="s">
        <v>29</v>
      </c>
      <c r="F89" s="23" t="s">
        <v>257</v>
      </c>
      <c r="G89" s="23" t="s">
        <v>45</v>
      </c>
      <c r="H89" s="23">
        <v>5</v>
      </c>
      <c r="I89" s="23">
        <f>ROUND(H89*测算依据!$B$6/测算依据!$B$7,0)</f>
        <v>4</v>
      </c>
      <c r="J89" s="23">
        <f t="shared" si="1"/>
        <v>44</v>
      </c>
      <c r="K89" s="25" t="s">
        <v>20</v>
      </c>
      <c r="L89" s="28" t="s">
        <v>39</v>
      </c>
      <c r="M89" s="27" t="s">
        <v>129</v>
      </c>
      <c r="N89" s="27" t="s">
        <v>258</v>
      </c>
    </row>
    <row r="90" s="18" customFormat="1" ht="18" customHeight="1" spans="1:14">
      <c r="A90" s="23">
        <v>92</v>
      </c>
      <c r="B90" s="23" t="s">
        <v>114</v>
      </c>
      <c r="C90" s="23" t="s">
        <v>255</v>
      </c>
      <c r="D90" s="23" t="s">
        <v>256</v>
      </c>
      <c r="E90" s="23" t="s">
        <v>29</v>
      </c>
      <c r="F90" s="23" t="s">
        <v>259</v>
      </c>
      <c r="G90" s="23" t="s">
        <v>45</v>
      </c>
      <c r="H90" s="23">
        <v>5</v>
      </c>
      <c r="I90" s="23">
        <f>ROUND(H90*测算依据!$B$6/测算依据!$B$7,0)</f>
        <v>4</v>
      </c>
      <c r="J90" s="23">
        <f t="shared" si="1"/>
        <v>44</v>
      </c>
      <c r="K90" s="25" t="s">
        <v>20</v>
      </c>
      <c r="L90" s="28" t="s">
        <v>39</v>
      </c>
      <c r="M90" s="27" t="s">
        <v>129</v>
      </c>
      <c r="N90" s="27" t="s">
        <v>260</v>
      </c>
    </row>
    <row r="91" s="18" customFormat="1" ht="18" customHeight="1" spans="1:14">
      <c r="A91" s="23">
        <v>93</v>
      </c>
      <c r="B91" s="23" t="s">
        <v>114</v>
      </c>
      <c r="C91" s="23" t="s">
        <v>255</v>
      </c>
      <c r="D91" s="23" t="s">
        <v>261</v>
      </c>
      <c r="E91" s="23" t="s">
        <v>262</v>
      </c>
      <c r="F91" s="23" t="s">
        <v>263</v>
      </c>
      <c r="G91" s="23" t="s">
        <v>31</v>
      </c>
      <c r="H91" s="23">
        <v>4</v>
      </c>
      <c r="I91" s="23">
        <f>ROUND(H91*测算依据!$B$6/测算依据!$B$7,0)</f>
        <v>3</v>
      </c>
      <c r="J91" s="23">
        <f t="shared" si="1"/>
        <v>44</v>
      </c>
      <c r="K91" s="25" t="s">
        <v>20</v>
      </c>
      <c r="L91" s="28" t="s">
        <v>39</v>
      </c>
      <c r="M91" s="27" t="s">
        <v>129</v>
      </c>
      <c r="N91" s="27" t="s">
        <v>264</v>
      </c>
    </row>
    <row r="92" s="18" customFormat="1" ht="18" customHeight="1" spans="1:14">
      <c r="A92" s="23">
        <v>94</v>
      </c>
      <c r="B92" s="23" t="s">
        <v>114</v>
      </c>
      <c r="C92" s="23" t="s">
        <v>255</v>
      </c>
      <c r="D92" s="23" t="s">
        <v>261</v>
      </c>
      <c r="E92" s="23" t="s">
        <v>262</v>
      </c>
      <c r="F92" s="23" t="s">
        <v>265</v>
      </c>
      <c r="G92" s="23" t="s">
        <v>31</v>
      </c>
      <c r="H92" s="23">
        <v>4</v>
      </c>
      <c r="I92" s="23">
        <f>ROUND(H92*测算依据!$B$6/测算依据!$B$7,0)</f>
        <v>3</v>
      </c>
      <c r="J92" s="23">
        <f t="shared" si="1"/>
        <v>44</v>
      </c>
      <c r="K92" s="25" t="s">
        <v>20</v>
      </c>
      <c r="L92" s="28" t="s">
        <v>39</v>
      </c>
      <c r="M92" s="27" t="s">
        <v>129</v>
      </c>
      <c r="N92" s="27" t="s">
        <v>266</v>
      </c>
    </row>
    <row r="93" s="18" customFormat="1" ht="18" customHeight="1" spans="1:14">
      <c r="A93" s="23">
        <v>95</v>
      </c>
      <c r="B93" s="23" t="s">
        <v>114</v>
      </c>
      <c r="C93" s="23" t="s">
        <v>255</v>
      </c>
      <c r="D93" s="23" t="s">
        <v>261</v>
      </c>
      <c r="E93" s="23" t="s">
        <v>262</v>
      </c>
      <c r="F93" s="23" t="s">
        <v>267</v>
      </c>
      <c r="G93" s="23" t="s">
        <v>31</v>
      </c>
      <c r="H93" s="23">
        <v>4</v>
      </c>
      <c r="I93" s="23">
        <f>ROUND(H93*测算依据!$B$6/测算依据!$B$7,0)</f>
        <v>3</v>
      </c>
      <c r="J93" s="23">
        <f t="shared" si="1"/>
        <v>44</v>
      </c>
      <c r="K93" s="25" t="s">
        <v>20</v>
      </c>
      <c r="L93" s="28" t="s">
        <v>39</v>
      </c>
      <c r="M93" s="27" t="s">
        <v>129</v>
      </c>
      <c r="N93" s="27" t="s">
        <v>268</v>
      </c>
    </row>
    <row r="94" s="18" customFormat="1" ht="18" customHeight="1" spans="1:14">
      <c r="A94" s="23">
        <v>96</v>
      </c>
      <c r="B94" s="23" t="s">
        <v>114</v>
      </c>
      <c r="C94" s="23" t="s">
        <v>255</v>
      </c>
      <c r="D94" s="23" t="s">
        <v>261</v>
      </c>
      <c r="E94" s="23" t="s">
        <v>262</v>
      </c>
      <c r="F94" s="23" t="s">
        <v>269</v>
      </c>
      <c r="G94" s="23" t="s">
        <v>31</v>
      </c>
      <c r="H94" s="23">
        <v>4</v>
      </c>
      <c r="I94" s="23">
        <f>ROUND(H94*测算依据!$B$6/测算依据!$B$7,0)</f>
        <v>3</v>
      </c>
      <c r="J94" s="23">
        <f t="shared" si="1"/>
        <v>44</v>
      </c>
      <c r="K94" s="25" t="s">
        <v>20</v>
      </c>
      <c r="L94" s="28" t="s">
        <v>39</v>
      </c>
      <c r="M94" s="27" t="s">
        <v>129</v>
      </c>
      <c r="N94" s="27" t="s">
        <v>270</v>
      </c>
    </row>
    <row r="95" s="18" customFormat="1" ht="18" customHeight="1" spans="1:14">
      <c r="A95" s="23">
        <v>97</v>
      </c>
      <c r="B95" s="23" t="s">
        <v>114</v>
      </c>
      <c r="C95" s="23" t="s">
        <v>255</v>
      </c>
      <c r="D95" s="23" t="s">
        <v>271</v>
      </c>
      <c r="E95" s="23" t="s">
        <v>89</v>
      </c>
      <c r="F95" s="23" t="s">
        <v>272</v>
      </c>
      <c r="G95" s="23" t="s">
        <v>45</v>
      </c>
      <c r="H95" s="23">
        <v>5</v>
      </c>
      <c r="I95" s="23">
        <f>ROUND(H95*测算依据!$B$6/测算依据!$B$7,0)</f>
        <v>4</v>
      </c>
      <c r="J95" s="23">
        <f t="shared" si="1"/>
        <v>44</v>
      </c>
      <c r="K95" s="25" t="s">
        <v>20</v>
      </c>
      <c r="L95" s="28" t="s">
        <v>39</v>
      </c>
      <c r="M95" s="27" t="s">
        <v>129</v>
      </c>
      <c r="N95" s="27" t="s">
        <v>273</v>
      </c>
    </row>
    <row r="96" s="18" customFormat="1" ht="18" customHeight="1" spans="1:14">
      <c r="A96" s="23">
        <v>98</v>
      </c>
      <c r="B96" s="23" t="s">
        <v>114</v>
      </c>
      <c r="C96" s="23" t="s">
        <v>255</v>
      </c>
      <c r="D96" s="23" t="s">
        <v>271</v>
      </c>
      <c r="E96" s="23" t="s">
        <v>89</v>
      </c>
      <c r="F96" s="23" t="s">
        <v>274</v>
      </c>
      <c r="G96" s="23" t="s">
        <v>45</v>
      </c>
      <c r="H96" s="23">
        <v>5</v>
      </c>
      <c r="I96" s="23">
        <f>ROUND(H96*测算依据!$B$6/测算依据!$B$7,0)</f>
        <v>4</v>
      </c>
      <c r="J96" s="23">
        <f t="shared" si="1"/>
        <v>44</v>
      </c>
      <c r="K96" s="25" t="s">
        <v>20</v>
      </c>
      <c r="L96" s="28" t="s">
        <v>39</v>
      </c>
      <c r="M96" s="27" t="s">
        <v>129</v>
      </c>
      <c r="N96" s="27" t="s">
        <v>275</v>
      </c>
    </row>
    <row r="97" s="18" customFormat="1" ht="18" customHeight="1" spans="1:14">
      <c r="A97" s="23">
        <v>99</v>
      </c>
      <c r="B97" s="23" t="s">
        <v>114</v>
      </c>
      <c r="C97" s="23" t="s">
        <v>255</v>
      </c>
      <c r="D97" s="23" t="s">
        <v>271</v>
      </c>
      <c r="E97" s="23" t="s">
        <v>89</v>
      </c>
      <c r="F97" s="23" t="s">
        <v>276</v>
      </c>
      <c r="G97" s="23" t="s">
        <v>45</v>
      </c>
      <c r="H97" s="23">
        <v>5</v>
      </c>
      <c r="I97" s="23">
        <f>ROUND(H97*测算依据!$B$6/测算依据!$B$7,0)</f>
        <v>4</v>
      </c>
      <c r="J97" s="23">
        <f t="shared" si="1"/>
        <v>44</v>
      </c>
      <c r="K97" s="25" t="s">
        <v>20</v>
      </c>
      <c r="L97" s="28" t="s">
        <v>39</v>
      </c>
      <c r="M97" s="27" t="s">
        <v>129</v>
      </c>
      <c r="N97" s="27" t="s">
        <v>277</v>
      </c>
    </row>
    <row r="98" s="18" customFormat="1" ht="18" customHeight="1" spans="1:14">
      <c r="A98" s="23">
        <v>100</v>
      </c>
      <c r="B98" s="23" t="s">
        <v>114</v>
      </c>
      <c r="C98" s="23" t="s">
        <v>255</v>
      </c>
      <c r="D98" s="23" t="s">
        <v>271</v>
      </c>
      <c r="E98" s="23" t="s">
        <v>89</v>
      </c>
      <c r="F98" s="23" t="s">
        <v>278</v>
      </c>
      <c r="G98" s="23" t="s">
        <v>45</v>
      </c>
      <c r="H98" s="23">
        <v>5</v>
      </c>
      <c r="I98" s="23">
        <f>ROUND(H98*测算依据!$B$6/测算依据!$B$7,0)</f>
        <v>4</v>
      </c>
      <c r="J98" s="23">
        <f t="shared" si="1"/>
        <v>44</v>
      </c>
      <c r="K98" s="25" t="s">
        <v>20</v>
      </c>
      <c r="L98" s="28" t="s">
        <v>39</v>
      </c>
      <c r="M98" s="27" t="s">
        <v>129</v>
      </c>
      <c r="N98" s="27" t="s">
        <v>279</v>
      </c>
    </row>
    <row r="99" s="18" customFormat="1" ht="18" customHeight="1" spans="1:14">
      <c r="A99" s="23">
        <v>101</v>
      </c>
      <c r="B99" s="23" t="s">
        <v>114</v>
      </c>
      <c r="C99" s="23" t="s">
        <v>255</v>
      </c>
      <c r="D99" s="23" t="s">
        <v>280</v>
      </c>
      <c r="E99" s="23" t="s">
        <v>89</v>
      </c>
      <c r="F99" s="23" t="s">
        <v>280</v>
      </c>
      <c r="G99" s="23" t="s">
        <v>45</v>
      </c>
      <c r="H99" s="23">
        <v>5</v>
      </c>
      <c r="I99" s="23">
        <f>ROUND(H99*测算依据!$B$6/测算依据!$B$7,0)</f>
        <v>4</v>
      </c>
      <c r="J99" s="23">
        <f t="shared" si="1"/>
        <v>44</v>
      </c>
      <c r="K99" s="25" t="s">
        <v>20</v>
      </c>
      <c r="L99" s="28" t="s">
        <v>39</v>
      </c>
      <c r="M99" s="27" t="s">
        <v>129</v>
      </c>
      <c r="N99" s="27" t="s">
        <v>281</v>
      </c>
    </row>
    <row r="100" s="18" customFormat="1" ht="18" customHeight="1" spans="1:14">
      <c r="A100" s="23">
        <v>102</v>
      </c>
      <c r="B100" s="23" t="s">
        <v>114</v>
      </c>
      <c r="C100" s="23" t="s">
        <v>255</v>
      </c>
      <c r="D100" s="23" t="s">
        <v>280</v>
      </c>
      <c r="E100" s="23" t="s">
        <v>89</v>
      </c>
      <c r="F100" s="23" t="s">
        <v>282</v>
      </c>
      <c r="G100" s="23" t="s">
        <v>45</v>
      </c>
      <c r="H100" s="23">
        <v>5</v>
      </c>
      <c r="I100" s="23">
        <f>ROUND(H100*测算依据!$B$6/测算依据!$B$7,0)</f>
        <v>4</v>
      </c>
      <c r="J100" s="23">
        <f t="shared" si="1"/>
        <v>44</v>
      </c>
      <c r="K100" s="25" t="s">
        <v>20</v>
      </c>
      <c r="L100" s="28" t="s">
        <v>39</v>
      </c>
      <c r="M100" s="27" t="s">
        <v>129</v>
      </c>
      <c r="N100" s="27" t="s">
        <v>283</v>
      </c>
    </row>
    <row r="101" s="18" customFormat="1" ht="18" customHeight="1" spans="1:14">
      <c r="A101" s="23">
        <v>106</v>
      </c>
      <c r="B101" s="23" t="s">
        <v>284</v>
      </c>
      <c r="C101" s="23" t="s">
        <v>285</v>
      </c>
      <c r="D101" s="23" t="s">
        <v>286</v>
      </c>
      <c r="E101" s="23" t="s">
        <v>287</v>
      </c>
      <c r="F101" s="23" t="s">
        <v>288</v>
      </c>
      <c r="G101" s="23" t="s">
        <v>45</v>
      </c>
      <c r="H101" s="23">
        <v>5</v>
      </c>
      <c r="I101" s="23">
        <f>ROUND(H101*测算依据!$B$6/测算依据!$B$7,0)</f>
        <v>4</v>
      </c>
      <c r="J101" s="23">
        <f t="shared" si="1"/>
        <v>17</v>
      </c>
      <c r="K101" s="25" t="s">
        <v>20</v>
      </c>
      <c r="L101" s="26" t="s">
        <v>21</v>
      </c>
      <c r="M101" s="27" t="s">
        <v>289</v>
      </c>
      <c r="N101" s="27" t="s">
        <v>290</v>
      </c>
    </row>
    <row r="102" s="18" customFormat="1" ht="18" customHeight="1" spans="1:14">
      <c r="A102" s="23">
        <v>107</v>
      </c>
      <c r="B102" s="23" t="s">
        <v>284</v>
      </c>
      <c r="C102" s="23" t="s">
        <v>285</v>
      </c>
      <c r="D102" s="23" t="s">
        <v>286</v>
      </c>
      <c r="E102" s="23" t="s">
        <v>291</v>
      </c>
      <c r="F102" s="23" t="s">
        <v>292</v>
      </c>
      <c r="G102" s="23" t="s">
        <v>45</v>
      </c>
      <c r="H102" s="23">
        <v>5</v>
      </c>
      <c r="I102" s="23">
        <f>ROUND(H102*测算依据!$B$6/测算依据!$B$7,0)</f>
        <v>4</v>
      </c>
      <c r="J102" s="23">
        <f t="shared" si="1"/>
        <v>17</v>
      </c>
      <c r="K102" s="25" t="s">
        <v>20</v>
      </c>
      <c r="L102" s="28" t="s">
        <v>39</v>
      </c>
      <c r="M102" s="27" t="s">
        <v>69</v>
      </c>
      <c r="N102" s="27" t="s">
        <v>293</v>
      </c>
    </row>
    <row r="103" s="18" customFormat="1" ht="18" customHeight="1" spans="1:14">
      <c r="A103" s="23">
        <v>108</v>
      </c>
      <c r="B103" s="23" t="s">
        <v>284</v>
      </c>
      <c r="C103" s="23" t="s">
        <v>285</v>
      </c>
      <c r="D103" s="23" t="s">
        <v>294</v>
      </c>
      <c r="E103" s="23" t="s">
        <v>295</v>
      </c>
      <c r="F103" s="23" t="s">
        <v>296</v>
      </c>
      <c r="G103" s="23" t="s">
        <v>31</v>
      </c>
      <c r="H103" s="23">
        <v>4</v>
      </c>
      <c r="I103" s="23">
        <f>ROUND(H103*测算依据!$B$6/测算依据!$B$7,0)</f>
        <v>3</v>
      </c>
      <c r="J103" s="23">
        <f t="shared" si="1"/>
        <v>17</v>
      </c>
      <c r="K103" s="25" t="s">
        <v>20</v>
      </c>
      <c r="L103" s="26" t="s">
        <v>21</v>
      </c>
      <c r="M103" s="27" t="s">
        <v>69</v>
      </c>
      <c r="N103" s="27" t="s">
        <v>297</v>
      </c>
    </row>
    <row r="104" s="18" customFormat="1" ht="18" customHeight="1" spans="1:14">
      <c r="A104" s="23">
        <v>109</v>
      </c>
      <c r="B104" s="23" t="s">
        <v>284</v>
      </c>
      <c r="C104" s="23" t="s">
        <v>285</v>
      </c>
      <c r="D104" s="23" t="s">
        <v>294</v>
      </c>
      <c r="E104" s="23" t="s">
        <v>295</v>
      </c>
      <c r="F104" s="23" t="s">
        <v>298</v>
      </c>
      <c r="G104" s="23" t="s">
        <v>31</v>
      </c>
      <c r="H104" s="23">
        <v>4</v>
      </c>
      <c r="I104" s="23">
        <f>ROUND(H104*测算依据!$B$6/测算依据!$B$7,0)</f>
        <v>3</v>
      </c>
      <c r="J104" s="23">
        <f t="shared" si="1"/>
        <v>17</v>
      </c>
      <c r="K104" s="25" t="s">
        <v>20</v>
      </c>
      <c r="L104" s="28" t="s">
        <v>39</v>
      </c>
      <c r="M104" s="27" t="s">
        <v>69</v>
      </c>
      <c r="N104" s="27" t="s">
        <v>299</v>
      </c>
    </row>
    <row r="105" s="18" customFormat="1" ht="18" customHeight="1" spans="1:14">
      <c r="A105" s="23">
        <v>110</v>
      </c>
      <c r="B105" s="23" t="s">
        <v>284</v>
      </c>
      <c r="C105" s="23" t="s">
        <v>285</v>
      </c>
      <c r="D105" s="23" t="s">
        <v>294</v>
      </c>
      <c r="E105" s="23" t="s">
        <v>295</v>
      </c>
      <c r="F105" s="23" t="s">
        <v>300</v>
      </c>
      <c r="G105" s="23" t="s">
        <v>31</v>
      </c>
      <c r="H105" s="23">
        <v>4</v>
      </c>
      <c r="I105" s="23">
        <f>ROUND(H105*测算依据!$B$6/测算依据!$B$7,0)</f>
        <v>3</v>
      </c>
      <c r="J105" s="23">
        <f t="shared" si="1"/>
        <v>17</v>
      </c>
      <c r="K105" s="25" t="s">
        <v>20</v>
      </c>
      <c r="L105" s="28" t="s">
        <v>39</v>
      </c>
      <c r="M105" s="27" t="s">
        <v>69</v>
      </c>
      <c r="N105" s="27" t="s">
        <v>299</v>
      </c>
    </row>
    <row r="106" s="18" customFormat="1" ht="18" customHeight="1" spans="1:14">
      <c r="A106" s="23">
        <v>111</v>
      </c>
      <c r="B106" s="23" t="s">
        <v>284</v>
      </c>
      <c r="C106" s="23" t="s">
        <v>301</v>
      </c>
      <c r="D106" s="23" t="s">
        <v>302</v>
      </c>
      <c r="E106" s="23" t="s">
        <v>303</v>
      </c>
      <c r="F106" s="23" t="s">
        <v>304</v>
      </c>
      <c r="G106" s="23" t="s">
        <v>19</v>
      </c>
      <c r="H106" s="23">
        <v>4</v>
      </c>
      <c r="I106" s="23">
        <f>ROUND(H106*测算依据!$B$6/测算依据!$B$7,0)</f>
        <v>3</v>
      </c>
      <c r="J106" s="23">
        <f t="shared" si="1"/>
        <v>36</v>
      </c>
      <c r="K106" s="25" t="s">
        <v>20</v>
      </c>
      <c r="L106" s="26" t="s">
        <v>21</v>
      </c>
      <c r="M106" s="27" t="s">
        <v>69</v>
      </c>
      <c r="N106" s="27" t="s">
        <v>305</v>
      </c>
    </row>
    <row r="107" s="18" customFormat="1" ht="18" customHeight="1" spans="1:14">
      <c r="A107" s="23">
        <v>112</v>
      </c>
      <c r="B107" s="23" t="s">
        <v>284</v>
      </c>
      <c r="C107" s="23" t="s">
        <v>301</v>
      </c>
      <c r="D107" s="23" t="s">
        <v>306</v>
      </c>
      <c r="E107" s="23" t="s">
        <v>76</v>
      </c>
      <c r="F107" s="23" t="s">
        <v>75</v>
      </c>
      <c r="G107" s="23" t="s">
        <v>19</v>
      </c>
      <c r="H107" s="23">
        <v>4</v>
      </c>
      <c r="I107" s="23">
        <f>ROUND(H107*测算依据!$B$6/测算依据!$B$7,0)</f>
        <v>3</v>
      </c>
      <c r="J107" s="23">
        <f t="shared" si="1"/>
        <v>36</v>
      </c>
      <c r="K107" s="25" t="s">
        <v>20</v>
      </c>
      <c r="L107" s="26" t="s">
        <v>21</v>
      </c>
      <c r="M107" s="27" t="s">
        <v>69</v>
      </c>
      <c r="N107" s="27" t="s">
        <v>307</v>
      </c>
    </row>
    <row r="108" s="18" customFormat="1" ht="18" customHeight="1" spans="1:14">
      <c r="A108" s="23">
        <v>113</v>
      </c>
      <c r="B108" s="23" t="s">
        <v>284</v>
      </c>
      <c r="C108" s="23" t="s">
        <v>301</v>
      </c>
      <c r="D108" s="23" t="s">
        <v>306</v>
      </c>
      <c r="E108" s="23" t="s">
        <v>209</v>
      </c>
      <c r="F108" s="23" t="s">
        <v>308</v>
      </c>
      <c r="G108" s="23" t="s">
        <v>19</v>
      </c>
      <c r="H108" s="23">
        <v>4</v>
      </c>
      <c r="I108" s="23">
        <f>ROUND(H108*测算依据!$B$6/测算依据!$B$7,0)</f>
        <v>3</v>
      </c>
      <c r="J108" s="23">
        <f t="shared" si="1"/>
        <v>36</v>
      </c>
      <c r="K108" s="25" t="s">
        <v>20</v>
      </c>
      <c r="L108" s="26" t="s">
        <v>21</v>
      </c>
      <c r="M108" s="27" t="s">
        <v>69</v>
      </c>
      <c r="N108" s="27" t="s">
        <v>309</v>
      </c>
    </row>
    <row r="109" s="18" customFormat="1" ht="18" customHeight="1" spans="1:14">
      <c r="A109" s="23">
        <v>114</v>
      </c>
      <c r="B109" s="23" t="s">
        <v>284</v>
      </c>
      <c r="C109" s="23" t="s">
        <v>301</v>
      </c>
      <c r="D109" s="23" t="s">
        <v>310</v>
      </c>
      <c r="E109" s="23" t="s">
        <v>311</v>
      </c>
      <c r="F109" s="23" t="s">
        <v>312</v>
      </c>
      <c r="G109" s="23" t="s">
        <v>19</v>
      </c>
      <c r="H109" s="23">
        <v>4</v>
      </c>
      <c r="I109" s="23">
        <f>ROUND(H109*测算依据!$B$6/测算依据!$B$7,0)</f>
        <v>3</v>
      </c>
      <c r="J109" s="23">
        <f t="shared" si="1"/>
        <v>36</v>
      </c>
      <c r="K109" s="25" t="s">
        <v>20</v>
      </c>
      <c r="L109" s="28" t="s">
        <v>39</v>
      </c>
      <c r="M109" s="27" t="s">
        <v>206</v>
      </c>
      <c r="N109" s="27" t="s">
        <v>313</v>
      </c>
    </row>
    <row r="110" s="18" customFormat="1" ht="18" customHeight="1" spans="1:14">
      <c r="A110" s="23">
        <v>115</v>
      </c>
      <c r="B110" s="23" t="s">
        <v>284</v>
      </c>
      <c r="C110" s="23" t="s">
        <v>301</v>
      </c>
      <c r="D110" s="23" t="s">
        <v>310</v>
      </c>
      <c r="E110" s="23" t="s">
        <v>311</v>
      </c>
      <c r="F110" s="23" t="s">
        <v>314</v>
      </c>
      <c r="G110" s="23" t="s">
        <v>19</v>
      </c>
      <c r="H110" s="23">
        <v>4</v>
      </c>
      <c r="I110" s="23">
        <f>ROUND(H110*测算依据!$B$6/测算依据!$B$7,0)</f>
        <v>3</v>
      </c>
      <c r="J110" s="23">
        <f t="shared" si="1"/>
        <v>36</v>
      </c>
      <c r="K110" s="25" t="s">
        <v>20</v>
      </c>
      <c r="L110" s="28" t="s">
        <v>39</v>
      </c>
      <c r="M110" s="27" t="s">
        <v>206</v>
      </c>
      <c r="N110" s="27" t="s">
        <v>313</v>
      </c>
    </row>
    <row r="111" s="18" customFormat="1" ht="18" customHeight="1" spans="1:14">
      <c r="A111" s="23">
        <v>116</v>
      </c>
      <c r="B111" s="23" t="s">
        <v>284</v>
      </c>
      <c r="C111" s="23" t="s">
        <v>301</v>
      </c>
      <c r="D111" s="23" t="s">
        <v>310</v>
      </c>
      <c r="E111" s="23" t="s">
        <v>311</v>
      </c>
      <c r="F111" s="23" t="s">
        <v>315</v>
      </c>
      <c r="G111" s="23" t="s">
        <v>19</v>
      </c>
      <c r="H111" s="23">
        <v>4</v>
      </c>
      <c r="I111" s="23">
        <f>ROUND(H111*测算依据!$B$6/测算依据!$B$7,0)</f>
        <v>3</v>
      </c>
      <c r="J111" s="23">
        <f t="shared" si="1"/>
        <v>36</v>
      </c>
      <c r="K111" s="25" t="s">
        <v>20</v>
      </c>
      <c r="L111" s="28" t="s">
        <v>39</v>
      </c>
      <c r="M111" s="27" t="s">
        <v>206</v>
      </c>
      <c r="N111" s="27" t="s">
        <v>313</v>
      </c>
    </row>
    <row r="112" s="18" customFormat="1" ht="18" customHeight="1" spans="1:14">
      <c r="A112" s="25">
        <v>117</v>
      </c>
      <c r="B112" s="25" t="s">
        <v>284</v>
      </c>
      <c r="C112" s="25" t="s">
        <v>301</v>
      </c>
      <c r="D112" s="25" t="s">
        <v>316</v>
      </c>
      <c r="E112" s="29" t="s">
        <v>89</v>
      </c>
      <c r="F112" s="29" t="s">
        <v>317</v>
      </c>
      <c r="G112" s="25" t="s">
        <v>19</v>
      </c>
      <c r="H112" s="25">
        <v>4</v>
      </c>
      <c r="I112" s="25">
        <f>ROUND(H112*测算依据!$B$6/测算依据!$B$7,0)</f>
        <v>3</v>
      </c>
      <c r="J112" s="25">
        <f t="shared" si="1"/>
        <v>36</v>
      </c>
      <c r="K112" s="25" t="s">
        <v>20</v>
      </c>
      <c r="L112" s="30" t="s">
        <v>21</v>
      </c>
      <c r="M112" s="27" t="s">
        <v>318</v>
      </c>
      <c r="N112" s="27" t="s">
        <v>319</v>
      </c>
    </row>
    <row r="113" s="18" customFormat="1" ht="18" customHeight="1" spans="1:14">
      <c r="A113" s="25">
        <v>118</v>
      </c>
      <c r="B113" s="25" t="s">
        <v>284</v>
      </c>
      <c r="C113" s="25" t="s">
        <v>301</v>
      </c>
      <c r="D113" s="25" t="s">
        <v>316</v>
      </c>
      <c r="E113" s="29" t="s">
        <v>25</v>
      </c>
      <c r="F113" s="29" t="s">
        <v>317</v>
      </c>
      <c r="G113" s="25" t="s">
        <v>19</v>
      </c>
      <c r="H113" s="25">
        <v>4</v>
      </c>
      <c r="I113" s="25">
        <f>ROUND(H113*测算依据!$B$6/测算依据!$B$7,0)</f>
        <v>3</v>
      </c>
      <c r="J113" s="25">
        <f t="shared" si="1"/>
        <v>36</v>
      </c>
      <c r="K113" s="25" t="s">
        <v>20</v>
      </c>
      <c r="L113" s="30" t="s">
        <v>21</v>
      </c>
      <c r="M113" s="27" t="s">
        <v>318</v>
      </c>
      <c r="N113" s="27" t="s">
        <v>319</v>
      </c>
    </row>
    <row r="114" s="18" customFormat="1" ht="18" customHeight="1" spans="1:14">
      <c r="A114" s="25">
        <v>119</v>
      </c>
      <c r="B114" s="25" t="s">
        <v>284</v>
      </c>
      <c r="C114" s="25" t="s">
        <v>301</v>
      </c>
      <c r="D114" s="25" t="s">
        <v>316</v>
      </c>
      <c r="E114" s="29" t="s">
        <v>320</v>
      </c>
      <c r="F114" s="29" t="s">
        <v>317</v>
      </c>
      <c r="G114" s="25" t="s">
        <v>19</v>
      </c>
      <c r="H114" s="25">
        <v>4</v>
      </c>
      <c r="I114" s="25">
        <f>ROUND(H114*测算依据!$B$6/测算依据!$B$7,0)</f>
        <v>3</v>
      </c>
      <c r="J114" s="25">
        <f t="shared" si="1"/>
        <v>36</v>
      </c>
      <c r="K114" s="25" t="s">
        <v>20</v>
      </c>
      <c r="L114" s="30" t="s">
        <v>21</v>
      </c>
      <c r="M114" s="27" t="s">
        <v>318</v>
      </c>
      <c r="N114" s="27" t="s">
        <v>319</v>
      </c>
    </row>
    <row r="115" s="18" customFormat="1" ht="18" customHeight="1" spans="1:14">
      <c r="A115" s="25">
        <v>120</v>
      </c>
      <c r="B115" s="25" t="s">
        <v>284</v>
      </c>
      <c r="C115" s="25" t="s">
        <v>301</v>
      </c>
      <c r="D115" s="25" t="s">
        <v>321</v>
      </c>
      <c r="E115" s="29" t="s">
        <v>89</v>
      </c>
      <c r="F115" s="29" t="s">
        <v>322</v>
      </c>
      <c r="G115" s="25" t="s">
        <v>31</v>
      </c>
      <c r="H115" s="25">
        <v>4</v>
      </c>
      <c r="I115" s="25">
        <f>ROUND(H115*测算依据!$B$6/测算依据!$B$7,0)</f>
        <v>3</v>
      </c>
      <c r="J115" s="25">
        <f t="shared" si="1"/>
        <v>36</v>
      </c>
      <c r="K115" s="25" t="s">
        <v>20</v>
      </c>
      <c r="L115" s="30" t="s">
        <v>21</v>
      </c>
      <c r="M115" s="27" t="s">
        <v>318</v>
      </c>
      <c r="N115" s="27" t="s">
        <v>323</v>
      </c>
    </row>
    <row r="116" s="18" customFormat="1" ht="18" customHeight="1" spans="1:14">
      <c r="A116" s="25">
        <v>121</v>
      </c>
      <c r="B116" s="25" t="s">
        <v>284</v>
      </c>
      <c r="C116" s="25" t="s">
        <v>301</v>
      </c>
      <c r="D116" s="25" t="s">
        <v>321</v>
      </c>
      <c r="E116" s="29" t="s">
        <v>89</v>
      </c>
      <c r="F116" s="29" t="s">
        <v>324</v>
      </c>
      <c r="G116" s="25" t="s">
        <v>31</v>
      </c>
      <c r="H116" s="25">
        <v>4</v>
      </c>
      <c r="I116" s="25">
        <f>ROUND(H116*测算依据!$B$6/测算依据!$B$7,0)</f>
        <v>3</v>
      </c>
      <c r="J116" s="25">
        <f t="shared" si="1"/>
        <v>36</v>
      </c>
      <c r="K116" s="25" t="s">
        <v>20</v>
      </c>
      <c r="L116" s="30" t="s">
        <v>21</v>
      </c>
      <c r="M116" s="27" t="s">
        <v>318</v>
      </c>
      <c r="N116" s="27" t="s">
        <v>323</v>
      </c>
    </row>
    <row r="117" s="18" customFormat="1" ht="18" customHeight="1" spans="1:14">
      <c r="A117" s="25">
        <v>122</v>
      </c>
      <c r="B117" s="25" t="s">
        <v>284</v>
      </c>
      <c r="C117" s="25" t="s">
        <v>301</v>
      </c>
      <c r="D117" s="25" t="s">
        <v>321</v>
      </c>
      <c r="E117" s="29" t="s">
        <v>89</v>
      </c>
      <c r="F117" s="29" t="s">
        <v>325</v>
      </c>
      <c r="G117" s="25" t="s">
        <v>31</v>
      </c>
      <c r="H117" s="25">
        <v>4</v>
      </c>
      <c r="I117" s="25">
        <f>ROUND(H117*测算依据!$B$6/测算依据!$B$7,0)</f>
        <v>3</v>
      </c>
      <c r="J117" s="25">
        <f t="shared" si="1"/>
        <v>36</v>
      </c>
      <c r="K117" s="25" t="s">
        <v>20</v>
      </c>
      <c r="L117" s="30" t="s">
        <v>21</v>
      </c>
      <c r="M117" s="27" t="s">
        <v>318</v>
      </c>
      <c r="N117" s="27" t="s">
        <v>323</v>
      </c>
    </row>
    <row r="118" s="18" customFormat="1" ht="18" customHeight="1" spans="1:14">
      <c r="A118" s="25">
        <v>266</v>
      </c>
      <c r="B118" s="23" t="s">
        <v>284</v>
      </c>
      <c r="C118" s="25" t="s">
        <v>326</v>
      </c>
      <c r="D118" s="25" t="s">
        <v>327</v>
      </c>
      <c r="E118" s="29" t="s">
        <v>17</v>
      </c>
      <c r="F118" s="29" t="s">
        <v>328</v>
      </c>
      <c r="G118" s="25" t="s">
        <v>19</v>
      </c>
      <c r="H118" s="25">
        <v>4</v>
      </c>
      <c r="I118" s="25">
        <f>ROUND(H118*测算依据!$B$6/测算依据!$B$7,0)</f>
        <v>3</v>
      </c>
      <c r="J118" s="25">
        <f t="shared" si="1"/>
        <v>3</v>
      </c>
      <c r="K118" s="25" t="s">
        <v>20</v>
      </c>
      <c r="L118" s="30" t="s">
        <v>21</v>
      </c>
      <c r="M118" s="27" t="s">
        <v>318</v>
      </c>
      <c r="N118" s="27" t="s">
        <v>329</v>
      </c>
    </row>
    <row r="119" s="18" customFormat="1" ht="18" customHeight="1" spans="1:14">
      <c r="A119" s="25">
        <v>267</v>
      </c>
      <c r="B119" s="23" t="s">
        <v>284</v>
      </c>
      <c r="C119" s="25" t="s">
        <v>330</v>
      </c>
      <c r="D119" s="25" t="s">
        <v>331</v>
      </c>
      <c r="E119" s="29" t="s">
        <v>29</v>
      </c>
      <c r="F119" s="29" t="s">
        <v>332</v>
      </c>
      <c r="G119" s="25" t="s">
        <v>45</v>
      </c>
      <c r="H119" s="25">
        <v>5</v>
      </c>
      <c r="I119" s="25">
        <f>ROUND(H119*测算依据!$B$6/测算依据!$B$7,0)</f>
        <v>4</v>
      </c>
      <c r="J119" s="25">
        <f t="shared" si="1"/>
        <v>30</v>
      </c>
      <c r="K119" s="25" t="s">
        <v>20</v>
      </c>
      <c r="L119" s="28" t="s">
        <v>39</v>
      </c>
      <c r="M119" s="27" t="s">
        <v>69</v>
      </c>
      <c r="N119" s="27" t="s">
        <v>333</v>
      </c>
    </row>
    <row r="120" s="18" customFormat="1" ht="18" customHeight="1" spans="1:14">
      <c r="A120" s="25">
        <v>268</v>
      </c>
      <c r="B120" s="23" t="s">
        <v>284</v>
      </c>
      <c r="C120" s="25" t="s">
        <v>330</v>
      </c>
      <c r="D120" s="25" t="s">
        <v>331</v>
      </c>
      <c r="E120" s="29" t="s">
        <v>29</v>
      </c>
      <c r="F120" s="29" t="s">
        <v>334</v>
      </c>
      <c r="G120" s="25" t="s">
        <v>45</v>
      </c>
      <c r="H120" s="25">
        <v>5</v>
      </c>
      <c r="I120" s="25">
        <f>ROUND(H120*测算依据!$B$6/测算依据!$B$7,0)</f>
        <v>4</v>
      </c>
      <c r="J120" s="25">
        <f t="shared" si="1"/>
        <v>30</v>
      </c>
      <c r="K120" s="25" t="s">
        <v>20</v>
      </c>
      <c r="L120" s="28" t="s">
        <v>39</v>
      </c>
      <c r="M120" s="27" t="s">
        <v>69</v>
      </c>
      <c r="N120" s="27" t="s">
        <v>333</v>
      </c>
    </row>
    <row r="121" s="18" customFormat="1" ht="18" customHeight="1" spans="1:14">
      <c r="A121" s="25">
        <v>269</v>
      </c>
      <c r="B121" s="23" t="s">
        <v>284</v>
      </c>
      <c r="C121" s="25" t="s">
        <v>330</v>
      </c>
      <c r="D121" s="25" t="s">
        <v>331</v>
      </c>
      <c r="E121" s="29" t="s">
        <v>29</v>
      </c>
      <c r="F121" s="29" t="s">
        <v>335</v>
      </c>
      <c r="G121" s="25" t="s">
        <v>45</v>
      </c>
      <c r="H121" s="25">
        <v>5</v>
      </c>
      <c r="I121" s="25">
        <f>ROUND(H121*测算依据!$B$6/测算依据!$B$7,0)</f>
        <v>4</v>
      </c>
      <c r="J121" s="25">
        <f t="shared" si="1"/>
        <v>30</v>
      </c>
      <c r="K121" s="25" t="s">
        <v>20</v>
      </c>
      <c r="L121" s="28" t="s">
        <v>39</v>
      </c>
      <c r="M121" s="27" t="s">
        <v>69</v>
      </c>
      <c r="N121" s="27" t="s">
        <v>333</v>
      </c>
    </row>
    <row r="122" s="18" customFormat="1" ht="18" customHeight="1" spans="1:14">
      <c r="A122" s="25">
        <v>270</v>
      </c>
      <c r="B122" s="23" t="s">
        <v>284</v>
      </c>
      <c r="C122" s="25" t="s">
        <v>330</v>
      </c>
      <c r="D122" s="25" t="s">
        <v>336</v>
      </c>
      <c r="E122" s="29" t="s">
        <v>17</v>
      </c>
      <c r="F122" s="29" t="s">
        <v>337</v>
      </c>
      <c r="G122" s="25" t="s">
        <v>19</v>
      </c>
      <c r="H122" s="25">
        <v>4</v>
      </c>
      <c r="I122" s="25">
        <f>ROUND(H122*测算依据!$B$6/测算依据!$B$7,0)</f>
        <v>3</v>
      </c>
      <c r="J122" s="25">
        <f t="shared" si="1"/>
        <v>30</v>
      </c>
      <c r="K122" s="25" t="s">
        <v>20</v>
      </c>
      <c r="L122" s="28" t="s">
        <v>39</v>
      </c>
      <c r="M122" s="27" t="s">
        <v>69</v>
      </c>
      <c r="N122" s="27" t="s">
        <v>338</v>
      </c>
    </row>
    <row r="123" s="18" customFormat="1" ht="18" customHeight="1" spans="1:14">
      <c r="A123" s="25">
        <v>271</v>
      </c>
      <c r="B123" s="23" t="s">
        <v>284</v>
      </c>
      <c r="C123" s="25" t="s">
        <v>330</v>
      </c>
      <c r="D123" s="25" t="s">
        <v>339</v>
      </c>
      <c r="E123" s="29" t="s">
        <v>340</v>
      </c>
      <c r="F123" s="29" t="s">
        <v>296</v>
      </c>
      <c r="G123" s="25" t="s">
        <v>19</v>
      </c>
      <c r="H123" s="25">
        <v>4</v>
      </c>
      <c r="I123" s="25">
        <f>ROUND(H123*测算依据!$B$6/测算依据!$B$7,0)</f>
        <v>3</v>
      </c>
      <c r="J123" s="25">
        <f t="shared" si="1"/>
        <v>30</v>
      </c>
      <c r="K123" s="25" t="s">
        <v>20</v>
      </c>
      <c r="L123" s="28" t="s">
        <v>39</v>
      </c>
      <c r="M123" s="27" t="s">
        <v>69</v>
      </c>
      <c r="N123" s="27" t="s">
        <v>338</v>
      </c>
    </row>
    <row r="124" s="18" customFormat="1" ht="18" customHeight="1" spans="1:14">
      <c r="A124" s="25">
        <v>272</v>
      </c>
      <c r="B124" s="23" t="s">
        <v>284</v>
      </c>
      <c r="C124" s="25" t="s">
        <v>330</v>
      </c>
      <c r="D124" s="25" t="s">
        <v>339</v>
      </c>
      <c r="E124" s="29" t="s">
        <v>340</v>
      </c>
      <c r="F124" s="29" t="s">
        <v>341</v>
      </c>
      <c r="G124" s="25" t="s">
        <v>19</v>
      </c>
      <c r="H124" s="25">
        <v>4</v>
      </c>
      <c r="I124" s="25">
        <f>ROUND(H124*测算依据!$B$6/测算依据!$B$7,0)</f>
        <v>3</v>
      </c>
      <c r="J124" s="25">
        <f t="shared" ref="J124:J187" si="2">SUMIFS($I$2:$I$273,$B$2:$B$273,B124,$C$2:$C$273,C124)</f>
        <v>30</v>
      </c>
      <c r="K124" s="25" t="s">
        <v>20</v>
      </c>
      <c r="L124" s="28" t="s">
        <v>39</v>
      </c>
      <c r="M124" s="27" t="s">
        <v>69</v>
      </c>
      <c r="N124" s="27" t="s">
        <v>338</v>
      </c>
    </row>
    <row r="125" s="18" customFormat="1" ht="18" customHeight="1" spans="1:14">
      <c r="A125" s="25">
        <v>273</v>
      </c>
      <c r="B125" s="23" t="s">
        <v>284</v>
      </c>
      <c r="C125" s="25" t="s">
        <v>330</v>
      </c>
      <c r="D125" s="25" t="s">
        <v>339</v>
      </c>
      <c r="E125" s="29" t="s">
        <v>209</v>
      </c>
      <c r="F125" s="29" t="s">
        <v>342</v>
      </c>
      <c r="G125" s="25" t="s">
        <v>19</v>
      </c>
      <c r="H125" s="25">
        <v>4</v>
      </c>
      <c r="I125" s="25">
        <f>ROUND(H125*测算依据!$B$6/测算依据!$B$7,0)</f>
        <v>3</v>
      </c>
      <c r="J125" s="25">
        <f t="shared" si="2"/>
        <v>30</v>
      </c>
      <c r="K125" s="25" t="s">
        <v>20</v>
      </c>
      <c r="L125" s="28" t="s">
        <v>39</v>
      </c>
      <c r="M125" s="27" t="s">
        <v>69</v>
      </c>
      <c r="N125" s="27" t="s">
        <v>338</v>
      </c>
    </row>
    <row r="126" s="18" customFormat="1" ht="18" customHeight="1" spans="1:14">
      <c r="A126" s="25">
        <v>274</v>
      </c>
      <c r="B126" s="23" t="s">
        <v>284</v>
      </c>
      <c r="C126" s="25" t="s">
        <v>330</v>
      </c>
      <c r="D126" s="25" t="s">
        <v>343</v>
      </c>
      <c r="E126" s="29" t="s">
        <v>303</v>
      </c>
      <c r="F126" s="29" t="s">
        <v>344</v>
      </c>
      <c r="G126" s="25" t="s">
        <v>19</v>
      </c>
      <c r="H126" s="25">
        <v>4</v>
      </c>
      <c r="I126" s="25">
        <f>ROUND(H126*测算依据!$B$6/测算依据!$B$7,0)</f>
        <v>3</v>
      </c>
      <c r="J126" s="25">
        <f t="shared" si="2"/>
        <v>30</v>
      </c>
      <c r="K126" s="25" t="s">
        <v>20</v>
      </c>
      <c r="L126" s="28" t="s">
        <v>39</v>
      </c>
      <c r="M126" s="27" t="s">
        <v>69</v>
      </c>
      <c r="N126" s="27" t="s">
        <v>338</v>
      </c>
    </row>
    <row r="127" s="18" customFormat="1" ht="18" customHeight="1" spans="1:14">
      <c r="A127" s="25">
        <v>275</v>
      </c>
      <c r="B127" s="23" t="s">
        <v>284</v>
      </c>
      <c r="C127" s="25" t="s">
        <v>330</v>
      </c>
      <c r="D127" s="25" t="s">
        <v>343</v>
      </c>
      <c r="E127" s="29" t="s">
        <v>345</v>
      </c>
      <c r="F127" s="29" t="s">
        <v>346</v>
      </c>
      <c r="G127" s="25" t="s">
        <v>19</v>
      </c>
      <c r="H127" s="25">
        <v>4</v>
      </c>
      <c r="I127" s="25">
        <f>ROUND(H127*测算依据!$B$6/测算依据!$B$7,0)</f>
        <v>3</v>
      </c>
      <c r="J127" s="25">
        <f t="shared" si="2"/>
        <v>30</v>
      </c>
      <c r="K127" s="25" t="s">
        <v>20</v>
      </c>
      <c r="L127" s="28" t="s">
        <v>39</v>
      </c>
      <c r="M127" s="27" t="s">
        <v>69</v>
      </c>
      <c r="N127" s="27" t="s">
        <v>338</v>
      </c>
    </row>
    <row r="128" s="18" customFormat="1" ht="18" customHeight="1" spans="1:14">
      <c r="A128" s="25">
        <v>276</v>
      </c>
      <c r="B128" s="23" t="s">
        <v>284</v>
      </c>
      <c r="C128" s="25" t="s">
        <v>347</v>
      </c>
      <c r="D128" s="25" t="s">
        <v>348</v>
      </c>
      <c r="E128" s="29" t="s">
        <v>76</v>
      </c>
      <c r="F128" s="29" t="s">
        <v>348</v>
      </c>
      <c r="G128" s="25" t="s">
        <v>19</v>
      </c>
      <c r="H128" s="25">
        <v>4</v>
      </c>
      <c r="I128" s="25">
        <f>ROUND(H128*测算依据!$B$6/测算依据!$B$7,0)</f>
        <v>3</v>
      </c>
      <c r="J128" s="25">
        <f t="shared" si="2"/>
        <v>36</v>
      </c>
      <c r="K128" s="25" t="s">
        <v>20</v>
      </c>
      <c r="L128" s="30" t="s">
        <v>21</v>
      </c>
      <c r="M128" s="27" t="s">
        <v>318</v>
      </c>
      <c r="N128" s="27" t="s">
        <v>349</v>
      </c>
    </row>
    <row r="129" s="18" customFormat="1" ht="18" customHeight="1" spans="1:14">
      <c r="A129" s="25">
        <v>277</v>
      </c>
      <c r="B129" s="23" t="s">
        <v>284</v>
      </c>
      <c r="C129" s="25" t="s">
        <v>347</v>
      </c>
      <c r="D129" s="25" t="s">
        <v>348</v>
      </c>
      <c r="E129" s="29" t="s">
        <v>295</v>
      </c>
      <c r="F129" s="29" t="s">
        <v>120</v>
      </c>
      <c r="G129" s="25" t="s">
        <v>31</v>
      </c>
      <c r="H129" s="25">
        <v>4</v>
      </c>
      <c r="I129" s="25">
        <f>ROUND(H129*测算依据!$B$6/测算依据!$B$7,0)</f>
        <v>3</v>
      </c>
      <c r="J129" s="25">
        <f t="shared" si="2"/>
        <v>36</v>
      </c>
      <c r="K129" s="25" t="s">
        <v>20</v>
      </c>
      <c r="L129" s="30" t="s">
        <v>21</v>
      </c>
      <c r="M129" s="27" t="s">
        <v>318</v>
      </c>
      <c r="N129" s="27" t="s">
        <v>349</v>
      </c>
    </row>
    <row r="130" s="18" customFormat="1" ht="18" customHeight="1" spans="1:14">
      <c r="A130" s="25">
        <v>278</v>
      </c>
      <c r="B130" s="23" t="s">
        <v>284</v>
      </c>
      <c r="C130" s="25" t="s">
        <v>347</v>
      </c>
      <c r="D130" s="25" t="s">
        <v>350</v>
      </c>
      <c r="E130" s="29" t="s">
        <v>76</v>
      </c>
      <c r="F130" s="29" t="s">
        <v>350</v>
      </c>
      <c r="G130" s="25" t="s">
        <v>19</v>
      </c>
      <c r="H130" s="25">
        <v>4</v>
      </c>
      <c r="I130" s="25">
        <f>ROUND(H130*测算依据!$B$6/测算依据!$B$7,0)</f>
        <v>3</v>
      </c>
      <c r="J130" s="25">
        <f t="shared" si="2"/>
        <v>36</v>
      </c>
      <c r="K130" s="25" t="s">
        <v>20</v>
      </c>
      <c r="L130" s="30" t="s">
        <v>21</v>
      </c>
      <c r="M130" s="27" t="s">
        <v>318</v>
      </c>
      <c r="N130" s="27" t="s">
        <v>349</v>
      </c>
    </row>
    <row r="131" s="18" customFormat="1" ht="18" customHeight="1" spans="1:14">
      <c r="A131" s="25">
        <v>279</v>
      </c>
      <c r="B131" s="23" t="s">
        <v>284</v>
      </c>
      <c r="C131" s="25" t="s">
        <v>347</v>
      </c>
      <c r="D131" s="25" t="s">
        <v>350</v>
      </c>
      <c r="E131" s="29" t="s">
        <v>295</v>
      </c>
      <c r="F131" s="29" t="s">
        <v>351</v>
      </c>
      <c r="G131" s="25" t="s">
        <v>31</v>
      </c>
      <c r="H131" s="25">
        <v>4</v>
      </c>
      <c r="I131" s="25">
        <f>ROUND(H131*测算依据!$B$6/测算依据!$B$7,0)</f>
        <v>3</v>
      </c>
      <c r="J131" s="25">
        <f t="shared" si="2"/>
        <v>36</v>
      </c>
      <c r="K131" s="25" t="s">
        <v>20</v>
      </c>
      <c r="L131" s="30" t="s">
        <v>21</v>
      </c>
      <c r="M131" s="27" t="s">
        <v>318</v>
      </c>
      <c r="N131" s="27" t="s">
        <v>349</v>
      </c>
    </row>
    <row r="132" s="18" customFormat="1" ht="18" customHeight="1" spans="1:14">
      <c r="A132" s="25">
        <v>280</v>
      </c>
      <c r="B132" s="23" t="s">
        <v>284</v>
      </c>
      <c r="C132" s="25" t="s">
        <v>347</v>
      </c>
      <c r="D132" s="25" t="s">
        <v>352</v>
      </c>
      <c r="E132" s="29" t="s">
        <v>353</v>
      </c>
      <c r="F132" s="29" t="s">
        <v>354</v>
      </c>
      <c r="G132" s="25" t="s">
        <v>19</v>
      </c>
      <c r="H132" s="25">
        <v>4</v>
      </c>
      <c r="I132" s="25">
        <f>ROUND(H132*测算依据!$B$6/测算依据!$B$7,0)</f>
        <v>3</v>
      </c>
      <c r="J132" s="25">
        <f t="shared" si="2"/>
        <v>36</v>
      </c>
      <c r="K132" s="25" t="s">
        <v>20</v>
      </c>
      <c r="L132" s="30" t="s">
        <v>21</v>
      </c>
      <c r="M132" s="27" t="s">
        <v>318</v>
      </c>
      <c r="N132" s="27" t="s">
        <v>355</v>
      </c>
    </row>
    <row r="133" s="18" customFormat="1" ht="18" customHeight="1" spans="1:14">
      <c r="A133" s="25">
        <v>281</v>
      </c>
      <c r="B133" s="23" t="s">
        <v>284</v>
      </c>
      <c r="C133" s="25" t="s">
        <v>347</v>
      </c>
      <c r="D133" s="25" t="s">
        <v>352</v>
      </c>
      <c r="E133" s="29" t="s">
        <v>71</v>
      </c>
      <c r="F133" s="29" t="s">
        <v>356</v>
      </c>
      <c r="G133" s="25" t="s">
        <v>45</v>
      </c>
      <c r="H133" s="25">
        <v>5</v>
      </c>
      <c r="I133" s="25">
        <f>ROUND(H133*测算依据!$B$6/测算依据!$B$7,0)</f>
        <v>4</v>
      </c>
      <c r="J133" s="25">
        <f t="shared" si="2"/>
        <v>36</v>
      </c>
      <c r="K133" s="25" t="s">
        <v>20</v>
      </c>
      <c r="L133" s="30" t="s">
        <v>21</v>
      </c>
      <c r="M133" s="27" t="s">
        <v>318</v>
      </c>
      <c r="N133" s="27" t="s">
        <v>355</v>
      </c>
    </row>
    <row r="134" s="18" customFormat="1" ht="18" customHeight="1" spans="1:14">
      <c r="A134" s="25">
        <v>282</v>
      </c>
      <c r="B134" s="23" t="s">
        <v>284</v>
      </c>
      <c r="C134" s="25" t="s">
        <v>347</v>
      </c>
      <c r="D134" s="25" t="s">
        <v>357</v>
      </c>
      <c r="E134" s="29" t="s">
        <v>358</v>
      </c>
      <c r="F134" s="29" t="s">
        <v>359</v>
      </c>
      <c r="G134" s="25" t="s">
        <v>19</v>
      </c>
      <c r="H134" s="25">
        <v>4</v>
      </c>
      <c r="I134" s="25">
        <f>ROUND(H134*测算依据!$B$6/测算依据!$B$7,0)</f>
        <v>3</v>
      </c>
      <c r="J134" s="25">
        <f t="shared" si="2"/>
        <v>36</v>
      </c>
      <c r="K134" s="25" t="s">
        <v>20</v>
      </c>
      <c r="L134" s="30" t="s">
        <v>21</v>
      </c>
      <c r="M134" s="27" t="s">
        <v>318</v>
      </c>
      <c r="N134" s="27" t="s">
        <v>355</v>
      </c>
    </row>
    <row r="135" s="18" customFormat="1" ht="18" customHeight="1" spans="1:14">
      <c r="A135" s="25">
        <v>283</v>
      </c>
      <c r="B135" s="23" t="s">
        <v>284</v>
      </c>
      <c r="C135" s="25" t="s">
        <v>347</v>
      </c>
      <c r="D135" s="25" t="s">
        <v>357</v>
      </c>
      <c r="E135" s="29" t="s">
        <v>353</v>
      </c>
      <c r="F135" s="29" t="s">
        <v>359</v>
      </c>
      <c r="G135" s="25" t="s">
        <v>19</v>
      </c>
      <c r="H135" s="25">
        <v>4</v>
      </c>
      <c r="I135" s="25">
        <f>ROUND(H135*测算依据!$B$6/测算依据!$B$7,0)</f>
        <v>3</v>
      </c>
      <c r="J135" s="25">
        <f t="shared" si="2"/>
        <v>36</v>
      </c>
      <c r="K135" s="25" t="s">
        <v>20</v>
      </c>
      <c r="L135" s="30" t="s">
        <v>21</v>
      </c>
      <c r="M135" s="27" t="s">
        <v>318</v>
      </c>
      <c r="N135" s="27" t="s">
        <v>355</v>
      </c>
    </row>
    <row r="136" s="18" customFormat="1" ht="18" customHeight="1" spans="1:14">
      <c r="A136" s="25">
        <v>284</v>
      </c>
      <c r="B136" s="23" t="s">
        <v>284</v>
      </c>
      <c r="C136" s="25" t="s">
        <v>347</v>
      </c>
      <c r="D136" s="25" t="s">
        <v>357</v>
      </c>
      <c r="E136" s="29" t="s">
        <v>71</v>
      </c>
      <c r="F136" s="29" t="s">
        <v>360</v>
      </c>
      <c r="G136" s="25" t="s">
        <v>45</v>
      </c>
      <c r="H136" s="25">
        <v>5</v>
      </c>
      <c r="I136" s="25">
        <f>ROUND(H136*测算依据!$B$6/测算依据!$B$7,0)</f>
        <v>4</v>
      </c>
      <c r="J136" s="25">
        <f t="shared" si="2"/>
        <v>36</v>
      </c>
      <c r="K136" s="25" t="s">
        <v>20</v>
      </c>
      <c r="L136" s="30" t="s">
        <v>21</v>
      </c>
      <c r="M136" s="27" t="s">
        <v>318</v>
      </c>
      <c r="N136" s="27" t="s">
        <v>355</v>
      </c>
    </row>
    <row r="137" s="18" customFormat="1" ht="18" customHeight="1" spans="1:14">
      <c r="A137" s="25">
        <v>285</v>
      </c>
      <c r="B137" s="23" t="s">
        <v>284</v>
      </c>
      <c r="C137" s="25" t="s">
        <v>347</v>
      </c>
      <c r="D137" s="25" t="s">
        <v>361</v>
      </c>
      <c r="E137" s="29" t="s">
        <v>362</v>
      </c>
      <c r="F137" s="29" t="s">
        <v>363</v>
      </c>
      <c r="G137" s="25" t="s">
        <v>45</v>
      </c>
      <c r="H137" s="25">
        <v>5</v>
      </c>
      <c r="I137" s="25">
        <f>ROUND(H137*测算依据!$B$6/测算依据!$B$7,0)</f>
        <v>4</v>
      </c>
      <c r="J137" s="25">
        <f t="shared" si="2"/>
        <v>36</v>
      </c>
      <c r="K137" s="25" t="s">
        <v>20</v>
      </c>
      <c r="L137" s="30" t="s">
        <v>21</v>
      </c>
      <c r="M137" s="27" t="s">
        <v>318</v>
      </c>
      <c r="N137" s="27" t="s">
        <v>364</v>
      </c>
    </row>
    <row r="138" s="18" customFormat="1" ht="18" customHeight="1" spans="1:14">
      <c r="A138" s="25">
        <v>286</v>
      </c>
      <c r="B138" s="23" t="s">
        <v>284</v>
      </c>
      <c r="C138" s="25" t="s">
        <v>347</v>
      </c>
      <c r="D138" s="25" t="s">
        <v>361</v>
      </c>
      <c r="E138" s="29" t="s">
        <v>365</v>
      </c>
      <c r="F138" s="29" t="s">
        <v>366</v>
      </c>
      <c r="G138" s="25" t="s">
        <v>31</v>
      </c>
      <c r="H138" s="25">
        <v>4</v>
      </c>
      <c r="I138" s="25">
        <f>ROUND(H138*测算依据!$B$6/测算依据!$B$7,0)</f>
        <v>3</v>
      </c>
      <c r="J138" s="25">
        <f t="shared" si="2"/>
        <v>36</v>
      </c>
      <c r="K138" s="25" t="s">
        <v>20</v>
      </c>
      <c r="L138" s="30" t="s">
        <v>21</v>
      </c>
      <c r="M138" s="27" t="s">
        <v>318</v>
      </c>
      <c r="N138" s="27" t="s">
        <v>364</v>
      </c>
    </row>
    <row r="139" s="18" customFormat="1" ht="18" customHeight="1" spans="1:14">
      <c r="A139" s="25">
        <v>287</v>
      </c>
      <c r="B139" s="23" t="s">
        <v>284</v>
      </c>
      <c r="C139" s="25" t="s">
        <v>367</v>
      </c>
      <c r="D139" s="25" t="s">
        <v>368</v>
      </c>
      <c r="E139" s="29" t="s">
        <v>369</v>
      </c>
      <c r="F139" s="29" t="s">
        <v>370</v>
      </c>
      <c r="G139" s="25" t="s">
        <v>19</v>
      </c>
      <c r="H139" s="25">
        <v>4</v>
      </c>
      <c r="I139" s="25">
        <f>ROUND(H139*测算依据!$B$6/测算依据!$B$7,0)</f>
        <v>3</v>
      </c>
      <c r="J139" s="25">
        <f t="shared" si="2"/>
        <v>3</v>
      </c>
      <c r="K139" s="25" t="s">
        <v>20</v>
      </c>
      <c r="L139" s="30" t="s">
        <v>21</v>
      </c>
      <c r="M139" s="27" t="s">
        <v>318</v>
      </c>
      <c r="N139" s="27" t="s">
        <v>371</v>
      </c>
    </row>
    <row r="140" s="18" customFormat="1" ht="18" customHeight="1" spans="1:14">
      <c r="A140" s="25">
        <v>123</v>
      </c>
      <c r="B140" s="25" t="s">
        <v>372</v>
      </c>
      <c r="C140" s="25" t="s">
        <v>373</v>
      </c>
      <c r="D140" s="25" t="s">
        <v>374</v>
      </c>
      <c r="E140" s="29" t="s">
        <v>29</v>
      </c>
      <c r="F140" s="29" t="s">
        <v>375</v>
      </c>
      <c r="G140" s="25" t="s">
        <v>45</v>
      </c>
      <c r="H140" s="25">
        <v>5</v>
      </c>
      <c r="I140" s="25">
        <f>ROUND(H140*测算依据!$B$6/测算依据!$B$7,0)</f>
        <v>4</v>
      </c>
      <c r="J140" s="25">
        <f t="shared" si="2"/>
        <v>20</v>
      </c>
      <c r="K140" s="25" t="s">
        <v>20</v>
      </c>
      <c r="L140" s="28" t="s">
        <v>39</v>
      </c>
      <c r="M140" s="27" t="s">
        <v>376</v>
      </c>
      <c r="N140" s="27" t="s">
        <v>377</v>
      </c>
    </row>
    <row r="141" s="18" customFormat="1" ht="18" customHeight="1" spans="1:14">
      <c r="A141" s="25">
        <v>124</v>
      </c>
      <c r="B141" s="25" t="s">
        <v>372</v>
      </c>
      <c r="C141" s="25" t="s">
        <v>373</v>
      </c>
      <c r="D141" s="25" t="s">
        <v>374</v>
      </c>
      <c r="E141" s="29" t="s">
        <v>29</v>
      </c>
      <c r="F141" s="29" t="s">
        <v>378</v>
      </c>
      <c r="G141" s="25" t="s">
        <v>45</v>
      </c>
      <c r="H141" s="25">
        <v>5</v>
      </c>
      <c r="I141" s="25">
        <f>ROUND(H141*测算依据!$B$6/测算依据!$B$7,0)</f>
        <v>4</v>
      </c>
      <c r="J141" s="25">
        <f t="shared" si="2"/>
        <v>20</v>
      </c>
      <c r="K141" s="25" t="s">
        <v>20</v>
      </c>
      <c r="L141" s="28" t="s">
        <v>39</v>
      </c>
      <c r="M141" s="27" t="s">
        <v>376</v>
      </c>
      <c r="N141" s="27" t="s">
        <v>379</v>
      </c>
    </row>
    <row r="142" s="18" customFormat="1" ht="18" customHeight="1" spans="1:14">
      <c r="A142" s="25">
        <v>125</v>
      </c>
      <c r="B142" s="25" t="s">
        <v>372</v>
      </c>
      <c r="C142" s="25" t="s">
        <v>373</v>
      </c>
      <c r="D142" s="25" t="s">
        <v>374</v>
      </c>
      <c r="E142" s="29" t="s">
        <v>29</v>
      </c>
      <c r="F142" s="29" t="s">
        <v>380</v>
      </c>
      <c r="G142" s="25" t="s">
        <v>45</v>
      </c>
      <c r="H142" s="25">
        <v>5</v>
      </c>
      <c r="I142" s="25">
        <f>ROUND(H142*测算依据!$B$6/测算依据!$B$7,0)</f>
        <v>4</v>
      </c>
      <c r="J142" s="25">
        <f t="shared" si="2"/>
        <v>20</v>
      </c>
      <c r="K142" s="25" t="s">
        <v>20</v>
      </c>
      <c r="L142" s="28" t="s">
        <v>39</v>
      </c>
      <c r="M142" s="27" t="s">
        <v>376</v>
      </c>
      <c r="N142" s="27" t="s">
        <v>381</v>
      </c>
    </row>
    <row r="143" s="18" customFormat="1" ht="18" customHeight="1" spans="1:14">
      <c r="A143" s="25">
        <v>126</v>
      </c>
      <c r="B143" s="25" t="s">
        <v>372</v>
      </c>
      <c r="C143" s="25" t="s">
        <v>373</v>
      </c>
      <c r="D143" s="25" t="s">
        <v>374</v>
      </c>
      <c r="E143" s="29" t="s">
        <v>29</v>
      </c>
      <c r="F143" s="29" t="s">
        <v>382</v>
      </c>
      <c r="G143" s="25" t="s">
        <v>45</v>
      </c>
      <c r="H143" s="25">
        <v>5</v>
      </c>
      <c r="I143" s="25">
        <f>ROUND(H143*测算依据!$B$6/测算依据!$B$7,0)</f>
        <v>4</v>
      </c>
      <c r="J143" s="25">
        <f t="shared" si="2"/>
        <v>20</v>
      </c>
      <c r="K143" s="25" t="s">
        <v>20</v>
      </c>
      <c r="L143" s="28" t="s">
        <v>39</v>
      </c>
      <c r="M143" s="27" t="s">
        <v>376</v>
      </c>
      <c r="N143" s="27" t="s">
        <v>383</v>
      </c>
    </row>
    <row r="144" s="18" customFormat="1" ht="18" customHeight="1" spans="1:14">
      <c r="A144" s="25">
        <v>127</v>
      </c>
      <c r="B144" s="25" t="s">
        <v>372</v>
      </c>
      <c r="C144" s="25" t="s">
        <v>373</v>
      </c>
      <c r="D144" s="25" t="s">
        <v>374</v>
      </c>
      <c r="E144" s="29" t="s">
        <v>29</v>
      </c>
      <c r="F144" s="29" t="s">
        <v>384</v>
      </c>
      <c r="G144" s="25" t="s">
        <v>45</v>
      </c>
      <c r="H144" s="25">
        <v>5</v>
      </c>
      <c r="I144" s="25">
        <f>ROUND(H144*测算依据!$B$6/测算依据!$B$7,0)</f>
        <v>4</v>
      </c>
      <c r="J144" s="25">
        <f t="shared" si="2"/>
        <v>20</v>
      </c>
      <c r="K144" s="25" t="s">
        <v>20</v>
      </c>
      <c r="L144" s="28" t="s">
        <v>39</v>
      </c>
      <c r="M144" s="27" t="s">
        <v>376</v>
      </c>
      <c r="N144" s="27" t="s">
        <v>385</v>
      </c>
    </row>
    <row r="145" s="18" customFormat="1" ht="18" customHeight="1" spans="1:14">
      <c r="A145" s="25">
        <v>128</v>
      </c>
      <c r="B145" s="25" t="s">
        <v>372</v>
      </c>
      <c r="C145" s="25" t="s">
        <v>386</v>
      </c>
      <c r="D145" s="25" t="s">
        <v>387</v>
      </c>
      <c r="E145" s="29" t="s">
        <v>388</v>
      </c>
      <c r="F145" s="29" t="s">
        <v>389</v>
      </c>
      <c r="G145" s="25" t="s">
        <v>19</v>
      </c>
      <c r="H145" s="25">
        <v>4</v>
      </c>
      <c r="I145" s="25">
        <f>ROUND(H145*测算依据!$B$6/测算依据!$B$7,0)</f>
        <v>3</v>
      </c>
      <c r="J145" s="25">
        <f t="shared" si="2"/>
        <v>28</v>
      </c>
      <c r="K145" s="25" t="s">
        <v>20</v>
      </c>
      <c r="L145" s="28" t="s">
        <v>39</v>
      </c>
      <c r="M145" s="27" t="s">
        <v>376</v>
      </c>
      <c r="N145" s="27" t="s">
        <v>390</v>
      </c>
    </row>
    <row r="146" s="18" customFormat="1" ht="18" customHeight="1" spans="1:14">
      <c r="A146" s="25">
        <v>129</v>
      </c>
      <c r="B146" s="25" t="s">
        <v>372</v>
      </c>
      <c r="C146" s="25" t="s">
        <v>386</v>
      </c>
      <c r="D146" s="25" t="s">
        <v>387</v>
      </c>
      <c r="E146" s="29" t="s">
        <v>388</v>
      </c>
      <c r="F146" s="29" t="s">
        <v>391</v>
      </c>
      <c r="G146" s="25" t="s">
        <v>19</v>
      </c>
      <c r="H146" s="25">
        <v>4</v>
      </c>
      <c r="I146" s="25">
        <f>ROUND(H146*测算依据!$B$6/测算依据!$B$7,0)</f>
        <v>3</v>
      </c>
      <c r="J146" s="25">
        <f t="shared" si="2"/>
        <v>28</v>
      </c>
      <c r="K146" s="25" t="s">
        <v>20</v>
      </c>
      <c r="L146" s="28" t="s">
        <v>39</v>
      </c>
      <c r="M146" s="27" t="s">
        <v>376</v>
      </c>
      <c r="N146" s="27" t="s">
        <v>392</v>
      </c>
    </row>
    <row r="147" s="18" customFormat="1" ht="18" customHeight="1" spans="1:14">
      <c r="A147" s="25">
        <v>130</v>
      </c>
      <c r="B147" s="25" t="s">
        <v>372</v>
      </c>
      <c r="C147" s="25" t="s">
        <v>386</v>
      </c>
      <c r="D147" s="25" t="s">
        <v>387</v>
      </c>
      <c r="E147" s="29" t="s">
        <v>388</v>
      </c>
      <c r="F147" s="29" t="s">
        <v>393</v>
      </c>
      <c r="G147" s="25" t="s">
        <v>19</v>
      </c>
      <c r="H147" s="25">
        <v>4</v>
      </c>
      <c r="I147" s="25">
        <f>ROUND(H147*测算依据!$B$6/测算依据!$B$7,0)</f>
        <v>3</v>
      </c>
      <c r="J147" s="25">
        <f t="shared" si="2"/>
        <v>28</v>
      </c>
      <c r="K147" s="25" t="s">
        <v>20</v>
      </c>
      <c r="L147" s="28" t="s">
        <v>39</v>
      </c>
      <c r="M147" s="27" t="s">
        <v>376</v>
      </c>
      <c r="N147" s="27" t="s">
        <v>394</v>
      </c>
    </row>
    <row r="148" s="18" customFormat="1" ht="18" customHeight="1" spans="1:14">
      <c r="A148" s="25">
        <v>131</v>
      </c>
      <c r="B148" s="25" t="s">
        <v>372</v>
      </c>
      <c r="C148" s="25" t="s">
        <v>386</v>
      </c>
      <c r="D148" s="25" t="s">
        <v>395</v>
      </c>
      <c r="E148" s="29" t="s">
        <v>396</v>
      </c>
      <c r="F148" s="29" t="s">
        <v>397</v>
      </c>
      <c r="G148" s="25" t="s">
        <v>45</v>
      </c>
      <c r="H148" s="25">
        <v>5</v>
      </c>
      <c r="I148" s="25">
        <f>ROUND(H148*测算依据!$B$6/测算依据!$B$7,0)</f>
        <v>4</v>
      </c>
      <c r="J148" s="25">
        <f t="shared" si="2"/>
        <v>28</v>
      </c>
      <c r="K148" s="25" t="s">
        <v>20</v>
      </c>
      <c r="L148" s="28" t="s">
        <v>39</v>
      </c>
      <c r="M148" s="27" t="s">
        <v>376</v>
      </c>
      <c r="N148" s="27" t="s">
        <v>398</v>
      </c>
    </row>
    <row r="149" s="18" customFormat="1" ht="18" customHeight="1" spans="1:14">
      <c r="A149" s="25">
        <v>132</v>
      </c>
      <c r="B149" s="25" t="s">
        <v>372</v>
      </c>
      <c r="C149" s="25" t="s">
        <v>386</v>
      </c>
      <c r="D149" s="25" t="s">
        <v>395</v>
      </c>
      <c r="E149" s="29" t="s">
        <v>396</v>
      </c>
      <c r="F149" s="29" t="s">
        <v>399</v>
      </c>
      <c r="G149" s="25" t="s">
        <v>45</v>
      </c>
      <c r="H149" s="25">
        <v>5</v>
      </c>
      <c r="I149" s="25">
        <f>ROUND(H149*测算依据!$B$6/测算依据!$B$7,0)</f>
        <v>4</v>
      </c>
      <c r="J149" s="25">
        <f t="shared" si="2"/>
        <v>28</v>
      </c>
      <c r="K149" s="25" t="s">
        <v>20</v>
      </c>
      <c r="L149" s="28" t="s">
        <v>39</v>
      </c>
      <c r="M149" s="27" t="s">
        <v>376</v>
      </c>
      <c r="N149" s="27" t="s">
        <v>400</v>
      </c>
    </row>
    <row r="150" s="18" customFormat="1" ht="18" customHeight="1" spans="1:14">
      <c r="A150" s="25">
        <v>133</v>
      </c>
      <c r="B150" s="25" t="s">
        <v>372</v>
      </c>
      <c r="C150" s="25" t="s">
        <v>386</v>
      </c>
      <c r="D150" s="25" t="s">
        <v>395</v>
      </c>
      <c r="E150" s="29" t="s">
        <v>396</v>
      </c>
      <c r="F150" s="29" t="s">
        <v>401</v>
      </c>
      <c r="G150" s="25" t="s">
        <v>45</v>
      </c>
      <c r="H150" s="25">
        <v>5</v>
      </c>
      <c r="I150" s="25">
        <f>ROUND(H150*测算依据!$B$6/测算依据!$B$7,0)</f>
        <v>4</v>
      </c>
      <c r="J150" s="25">
        <f t="shared" si="2"/>
        <v>28</v>
      </c>
      <c r="K150" s="25" t="s">
        <v>20</v>
      </c>
      <c r="L150" s="28" t="s">
        <v>39</v>
      </c>
      <c r="M150" s="27" t="s">
        <v>376</v>
      </c>
      <c r="N150" s="27" t="s">
        <v>402</v>
      </c>
    </row>
    <row r="151" s="18" customFormat="1" ht="18" customHeight="1" spans="1:14">
      <c r="A151" s="25">
        <v>134</v>
      </c>
      <c r="B151" s="25" t="s">
        <v>372</v>
      </c>
      <c r="C151" s="25" t="s">
        <v>386</v>
      </c>
      <c r="D151" s="25" t="s">
        <v>395</v>
      </c>
      <c r="E151" s="29" t="s">
        <v>403</v>
      </c>
      <c r="F151" s="29" t="s">
        <v>404</v>
      </c>
      <c r="G151" s="25" t="s">
        <v>45</v>
      </c>
      <c r="H151" s="25">
        <v>5</v>
      </c>
      <c r="I151" s="25">
        <f>ROUND(H151*测算依据!$B$6/测算依据!$B$7,0)</f>
        <v>4</v>
      </c>
      <c r="J151" s="25">
        <f t="shared" si="2"/>
        <v>28</v>
      </c>
      <c r="K151" s="25" t="s">
        <v>20</v>
      </c>
      <c r="L151" s="28" t="s">
        <v>39</v>
      </c>
      <c r="M151" s="27" t="s">
        <v>376</v>
      </c>
      <c r="N151" s="27" t="s">
        <v>405</v>
      </c>
    </row>
    <row r="152" s="18" customFormat="1" ht="18" customHeight="1" spans="1:14">
      <c r="A152" s="25">
        <v>135</v>
      </c>
      <c r="B152" s="25" t="s">
        <v>372</v>
      </c>
      <c r="C152" s="25" t="s">
        <v>386</v>
      </c>
      <c r="D152" s="25" t="s">
        <v>406</v>
      </c>
      <c r="E152" s="29" t="s">
        <v>407</v>
      </c>
      <c r="F152" s="29" t="s">
        <v>408</v>
      </c>
      <c r="G152" s="25" t="s">
        <v>31</v>
      </c>
      <c r="H152" s="25">
        <v>4</v>
      </c>
      <c r="I152" s="25">
        <f>ROUND(H152*测算依据!$B$6/测算依据!$B$7,0)</f>
        <v>3</v>
      </c>
      <c r="J152" s="25">
        <f t="shared" si="2"/>
        <v>28</v>
      </c>
      <c r="K152" s="25" t="s">
        <v>20</v>
      </c>
      <c r="L152" s="28" t="s">
        <v>39</v>
      </c>
      <c r="M152" s="27" t="s">
        <v>376</v>
      </c>
      <c r="N152" s="27" t="s">
        <v>409</v>
      </c>
    </row>
    <row r="153" s="18" customFormat="1" ht="18" customHeight="1" spans="1:14">
      <c r="A153" s="25">
        <v>136</v>
      </c>
      <c r="B153" s="25" t="s">
        <v>372</v>
      </c>
      <c r="C153" s="25" t="s">
        <v>410</v>
      </c>
      <c r="D153" s="25" t="s">
        <v>411</v>
      </c>
      <c r="E153" s="29" t="s">
        <v>412</v>
      </c>
      <c r="F153" s="29" t="s">
        <v>413</v>
      </c>
      <c r="G153" s="25" t="s">
        <v>31</v>
      </c>
      <c r="H153" s="25">
        <v>4</v>
      </c>
      <c r="I153" s="25">
        <f>ROUND(H153*测算依据!$B$6/测算依据!$B$7,0)</f>
        <v>3</v>
      </c>
      <c r="J153" s="25">
        <f t="shared" si="2"/>
        <v>6</v>
      </c>
      <c r="K153" s="25" t="s">
        <v>20</v>
      </c>
      <c r="L153" s="28" t="s">
        <v>39</v>
      </c>
      <c r="M153" s="27" t="s">
        <v>376</v>
      </c>
      <c r="N153" s="27" t="s">
        <v>414</v>
      </c>
    </row>
    <row r="154" s="18" customFormat="1" ht="18" customHeight="1" spans="1:14">
      <c r="A154" s="25">
        <v>137</v>
      </c>
      <c r="B154" s="25" t="s">
        <v>372</v>
      </c>
      <c r="C154" s="25" t="s">
        <v>410</v>
      </c>
      <c r="D154" s="25" t="s">
        <v>411</v>
      </c>
      <c r="E154" s="29" t="s">
        <v>415</v>
      </c>
      <c r="F154" s="29" t="s">
        <v>416</v>
      </c>
      <c r="G154" s="25" t="s">
        <v>31</v>
      </c>
      <c r="H154" s="25">
        <v>4</v>
      </c>
      <c r="I154" s="25">
        <f>ROUND(H154*测算依据!$B$6/测算依据!$B$7,0)</f>
        <v>3</v>
      </c>
      <c r="J154" s="25">
        <f t="shared" si="2"/>
        <v>6</v>
      </c>
      <c r="K154" s="25" t="s">
        <v>20</v>
      </c>
      <c r="L154" s="28" t="s">
        <v>39</v>
      </c>
      <c r="M154" s="27" t="s">
        <v>376</v>
      </c>
      <c r="N154" s="27" t="s">
        <v>414</v>
      </c>
    </row>
    <row r="155" s="18" customFormat="1" ht="18" customHeight="1" spans="1:14">
      <c r="A155" s="25">
        <v>138</v>
      </c>
      <c r="B155" s="25" t="s">
        <v>372</v>
      </c>
      <c r="C155" s="25" t="s">
        <v>417</v>
      </c>
      <c r="D155" s="25" t="s">
        <v>418</v>
      </c>
      <c r="E155" s="29" t="s">
        <v>419</v>
      </c>
      <c r="F155" s="29" t="s">
        <v>420</v>
      </c>
      <c r="G155" s="25" t="s">
        <v>31</v>
      </c>
      <c r="H155" s="25">
        <v>4</v>
      </c>
      <c r="I155" s="25">
        <f>ROUND(H155*测算依据!$B$6/测算依据!$B$7,0)</f>
        <v>3</v>
      </c>
      <c r="J155" s="25">
        <f t="shared" si="2"/>
        <v>3</v>
      </c>
      <c r="K155" s="25" t="s">
        <v>20</v>
      </c>
      <c r="L155" s="28" t="s">
        <v>39</v>
      </c>
      <c r="M155" s="27" t="s">
        <v>376</v>
      </c>
      <c r="N155" s="27" t="s">
        <v>421</v>
      </c>
    </row>
    <row r="156" s="18" customFormat="1" ht="18" customHeight="1" spans="1:14">
      <c r="A156" s="25">
        <v>139</v>
      </c>
      <c r="B156" s="25" t="s">
        <v>372</v>
      </c>
      <c r="C156" s="25" t="s">
        <v>422</v>
      </c>
      <c r="D156" s="25" t="s">
        <v>423</v>
      </c>
      <c r="E156" s="29" t="s">
        <v>424</v>
      </c>
      <c r="F156" s="29" t="s">
        <v>425</v>
      </c>
      <c r="G156" s="25" t="s">
        <v>45</v>
      </c>
      <c r="H156" s="25">
        <v>5</v>
      </c>
      <c r="I156" s="25">
        <f>ROUND(H156*测算依据!$B$6/测算依据!$B$7,0)</f>
        <v>4</v>
      </c>
      <c r="J156" s="25">
        <f t="shared" si="2"/>
        <v>30</v>
      </c>
      <c r="K156" s="25" t="s">
        <v>20</v>
      </c>
      <c r="L156" s="28" t="s">
        <v>39</v>
      </c>
      <c r="M156" s="27" t="s">
        <v>129</v>
      </c>
      <c r="N156" s="27" t="s">
        <v>426</v>
      </c>
    </row>
    <row r="157" s="18" customFormat="1" ht="18" customHeight="1" spans="1:14">
      <c r="A157" s="25">
        <v>140</v>
      </c>
      <c r="B157" s="25" t="s">
        <v>372</v>
      </c>
      <c r="C157" s="25" t="s">
        <v>422</v>
      </c>
      <c r="D157" s="25" t="s">
        <v>423</v>
      </c>
      <c r="E157" s="29" t="s">
        <v>424</v>
      </c>
      <c r="F157" s="29" t="s">
        <v>427</v>
      </c>
      <c r="G157" s="25" t="s">
        <v>45</v>
      </c>
      <c r="H157" s="25">
        <v>5</v>
      </c>
      <c r="I157" s="25">
        <f>ROUND(H157*测算依据!$B$6/测算依据!$B$7,0)</f>
        <v>4</v>
      </c>
      <c r="J157" s="25">
        <f t="shared" si="2"/>
        <v>30</v>
      </c>
      <c r="K157" s="25" t="s">
        <v>20</v>
      </c>
      <c r="L157" s="28" t="s">
        <v>39</v>
      </c>
      <c r="M157" s="27" t="s">
        <v>129</v>
      </c>
      <c r="N157" s="27" t="s">
        <v>428</v>
      </c>
    </row>
    <row r="158" s="18" customFormat="1" ht="18" customHeight="1" spans="1:14">
      <c r="A158" s="25">
        <v>141</v>
      </c>
      <c r="B158" s="25" t="s">
        <v>372</v>
      </c>
      <c r="C158" s="25" t="s">
        <v>422</v>
      </c>
      <c r="D158" s="25" t="s">
        <v>423</v>
      </c>
      <c r="E158" s="29" t="s">
        <v>424</v>
      </c>
      <c r="F158" s="29" t="s">
        <v>429</v>
      </c>
      <c r="G158" s="25" t="s">
        <v>45</v>
      </c>
      <c r="H158" s="25">
        <v>5</v>
      </c>
      <c r="I158" s="25">
        <f>ROUND(H158*测算依据!$B$6/测算依据!$B$7,0)</f>
        <v>4</v>
      </c>
      <c r="J158" s="25">
        <f t="shared" si="2"/>
        <v>30</v>
      </c>
      <c r="K158" s="25" t="s">
        <v>20</v>
      </c>
      <c r="L158" s="28" t="s">
        <v>39</v>
      </c>
      <c r="M158" s="27" t="s">
        <v>129</v>
      </c>
      <c r="N158" s="27" t="s">
        <v>430</v>
      </c>
    </row>
    <row r="159" s="18" customFormat="1" ht="18" customHeight="1" spans="1:14">
      <c r="A159" s="25">
        <v>142</v>
      </c>
      <c r="B159" s="25" t="s">
        <v>372</v>
      </c>
      <c r="C159" s="25" t="s">
        <v>422</v>
      </c>
      <c r="D159" s="25" t="s">
        <v>431</v>
      </c>
      <c r="E159" s="29" t="s">
        <v>89</v>
      </c>
      <c r="F159" s="29" t="s">
        <v>432</v>
      </c>
      <c r="G159" s="25" t="s">
        <v>45</v>
      </c>
      <c r="H159" s="25">
        <v>5</v>
      </c>
      <c r="I159" s="25">
        <f>ROUND(H159*测算依据!$B$6/测算依据!$B$7,0)</f>
        <v>4</v>
      </c>
      <c r="J159" s="25">
        <f t="shared" si="2"/>
        <v>30</v>
      </c>
      <c r="K159" s="25" t="s">
        <v>20</v>
      </c>
      <c r="L159" s="28" t="s">
        <v>39</v>
      </c>
      <c r="M159" s="27" t="s">
        <v>129</v>
      </c>
      <c r="N159" s="27" t="s">
        <v>433</v>
      </c>
    </row>
    <row r="160" s="18" customFormat="1" ht="18" customHeight="1" spans="1:14">
      <c r="A160" s="25">
        <v>143</v>
      </c>
      <c r="B160" s="25" t="s">
        <v>372</v>
      </c>
      <c r="C160" s="25" t="s">
        <v>422</v>
      </c>
      <c r="D160" s="25" t="s">
        <v>431</v>
      </c>
      <c r="E160" s="29" t="s">
        <v>89</v>
      </c>
      <c r="F160" s="29" t="s">
        <v>434</v>
      </c>
      <c r="G160" s="25" t="s">
        <v>45</v>
      </c>
      <c r="H160" s="25">
        <v>5</v>
      </c>
      <c r="I160" s="25">
        <f>ROUND(H160*测算依据!$B$6/测算依据!$B$7,0)</f>
        <v>4</v>
      </c>
      <c r="J160" s="25">
        <f t="shared" si="2"/>
        <v>30</v>
      </c>
      <c r="K160" s="25" t="s">
        <v>20</v>
      </c>
      <c r="L160" s="28" t="s">
        <v>39</v>
      </c>
      <c r="M160" s="27" t="s">
        <v>129</v>
      </c>
      <c r="N160" s="27" t="s">
        <v>433</v>
      </c>
    </row>
    <row r="161" s="18" customFormat="1" ht="18" customHeight="1" spans="1:14">
      <c r="A161" s="25">
        <v>144</v>
      </c>
      <c r="B161" s="25" t="s">
        <v>372</v>
      </c>
      <c r="C161" s="25" t="s">
        <v>422</v>
      </c>
      <c r="D161" s="25" t="s">
        <v>431</v>
      </c>
      <c r="E161" s="29" t="s">
        <v>89</v>
      </c>
      <c r="F161" s="29" t="s">
        <v>435</v>
      </c>
      <c r="G161" s="25" t="s">
        <v>45</v>
      </c>
      <c r="H161" s="25">
        <v>5</v>
      </c>
      <c r="I161" s="25">
        <f>ROUND(H161*测算依据!$B$6/测算依据!$B$7,0)</f>
        <v>4</v>
      </c>
      <c r="J161" s="25">
        <f t="shared" si="2"/>
        <v>30</v>
      </c>
      <c r="K161" s="25" t="s">
        <v>20</v>
      </c>
      <c r="L161" s="28" t="s">
        <v>39</v>
      </c>
      <c r="M161" s="27" t="s">
        <v>129</v>
      </c>
      <c r="N161" s="27" t="s">
        <v>433</v>
      </c>
    </row>
    <row r="162" s="18" customFormat="1" ht="18" customHeight="1" spans="1:14">
      <c r="A162" s="25">
        <v>145</v>
      </c>
      <c r="B162" s="25" t="s">
        <v>372</v>
      </c>
      <c r="C162" s="25" t="s">
        <v>422</v>
      </c>
      <c r="D162" s="25" t="s">
        <v>436</v>
      </c>
      <c r="E162" s="29" t="s">
        <v>437</v>
      </c>
      <c r="F162" s="29" t="s">
        <v>438</v>
      </c>
      <c r="G162" s="25" t="s">
        <v>19</v>
      </c>
      <c r="H162" s="25">
        <v>4</v>
      </c>
      <c r="I162" s="25">
        <f>ROUND(H162*测算依据!$B$6/测算依据!$B$7,0)</f>
        <v>3</v>
      </c>
      <c r="J162" s="25">
        <f t="shared" si="2"/>
        <v>30</v>
      </c>
      <c r="K162" s="25" t="s">
        <v>20</v>
      </c>
      <c r="L162" s="28" t="s">
        <v>39</v>
      </c>
      <c r="M162" s="27" t="s">
        <v>129</v>
      </c>
      <c r="N162" s="27" t="s">
        <v>439</v>
      </c>
    </row>
    <row r="163" s="18" customFormat="1" ht="18" customHeight="1" spans="1:14">
      <c r="A163" s="25">
        <v>146</v>
      </c>
      <c r="B163" s="25" t="s">
        <v>372</v>
      </c>
      <c r="C163" s="25" t="s">
        <v>422</v>
      </c>
      <c r="D163" s="25" t="s">
        <v>436</v>
      </c>
      <c r="E163" s="29" t="s">
        <v>440</v>
      </c>
      <c r="F163" s="29" t="s">
        <v>441</v>
      </c>
      <c r="G163" s="25" t="s">
        <v>19</v>
      </c>
      <c r="H163" s="25">
        <v>4</v>
      </c>
      <c r="I163" s="25">
        <f>ROUND(H163*测算依据!$B$6/测算依据!$B$7,0)</f>
        <v>3</v>
      </c>
      <c r="J163" s="25">
        <f t="shared" si="2"/>
        <v>30</v>
      </c>
      <c r="K163" s="25" t="s">
        <v>20</v>
      </c>
      <c r="L163" s="28" t="s">
        <v>39</v>
      </c>
      <c r="M163" s="27" t="s">
        <v>129</v>
      </c>
      <c r="N163" s="27" t="s">
        <v>439</v>
      </c>
    </row>
    <row r="164" s="18" customFormat="1" ht="18" customHeight="1" spans="1:14">
      <c r="A164" s="25">
        <v>147</v>
      </c>
      <c r="B164" s="25" t="s">
        <v>372</v>
      </c>
      <c r="C164" s="25" t="s">
        <v>442</v>
      </c>
      <c r="D164" s="25" t="s">
        <v>443</v>
      </c>
      <c r="E164" s="29" t="s">
        <v>415</v>
      </c>
      <c r="F164" s="29" t="s">
        <v>444</v>
      </c>
      <c r="G164" s="25" t="s">
        <v>31</v>
      </c>
      <c r="H164" s="25">
        <v>4</v>
      </c>
      <c r="I164" s="25">
        <f>ROUND(H164*测算依据!$B$6/测算依据!$B$7,0)</f>
        <v>3</v>
      </c>
      <c r="J164" s="25">
        <f t="shared" si="2"/>
        <v>18</v>
      </c>
      <c r="K164" s="25" t="s">
        <v>20</v>
      </c>
      <c r="L164" s="28" t="s">
        <v>39</v>
      </c>
      <c r="M164" s="27" t="s">
        <v>376</v>
      </c>
      <c r="N164" s="27" t="s">
        <v>445</v>
      </c>
    </row>
    <row r="165" s="18" customFormat="1" ht="18" customHeight="1" spans="1:14">
      <c r="A165" s="25">
        <v>148</v>
      </c>
      <c r="B165" s="25" t="s">
        <v>372</v>
      </c>
      <c r="C165" s="25" t="s">
        <v>442</v>
      </c>
      <c r="D165" s="25" t="s">
        <v>443</v>
      </c>
      <c r="E165" s="29" t="s">
        <v>415</v>
      </c>
      <c r="F165" s="29" t="s">
        <v>446</v>
      </c>
      <c r="G165" s="25" t="s">
        <v>31</v>
      </c>
      <c r="H165" s="25">
        <v>4</v>
      </c>
      <c r="I165" s="25">
        <f>ROUND(H165*测算依据!$B$6/测算依据!$B$7,0)</f>
        <v>3</v>
      </c>
      <c r="J165" s="25">
        <f t="shared" si="2"/>
        <v>18</v>
      </c>
      <c r="K165" s="25" t="s">
        <v>20</v>
      </c>
      <c r="L165" s="28" t="s">
        <v>39</v>
      </c>
      <c r="M165" s="27" t="s">
        <v>376</v>
      </c>
      <c r="N165" s="27" t="s">
        <v>445</v>
      </c>
    </row>
    <row r="166" s="18" customFormat="1" ht="18" customHeight="1" spans="1:14">
      <c r="A166" s="25">
        <v>149</v>
      </c>
      <c r="B166" s="25" t="s">
        <v>372</v>
      </c>
      <c r="C166" s="25" t="s">
        <v>442</v>
      </c>
      <c r="D166" s="25" t="s">
        <v>443</v>
      </c>
      <c r="E166" s="29" t="s">
        <v>415</v>
      </c>
      <c r="F166" s="29" t="s">
        <v>447</v>
      </c>
      <c r="G166" s="25" t="s">
        <v>31</v>
      </c>
      <c r="H166" s="25">
        <v>4</v>
      </c>
      <c r="I166" s="25">
        <f>ROUND(H166*测算依据!$B$6/测算依据!$B$7,0)</f>
        <v>3</v>
      </c>
      <c r="J166" s="25">
        <f t="shared" si="2"/>
        <v>18</v>
      </c>
      <c r="K166" s="25" t="s">
        <v>20</v>
      </c>
      <c r="L166" s="28" t="s">
        <v>39</v>
      </c>
      <c r="M166" s="27" t="s">
        <v>376</v>
      </c>
      <c r="N166" s="27" t="s">
        <v>445</v>
      </c>
    </row>
    <row r="167" s="18" customFormat="1" ht="18" customHeight="1" spans="1:14">
      <c r="A167" s="25">
        <v>150</v>
      </c>
      <c r="B167" s="25" t="s">
        <v>372</v>
      </c>
      <c r="C167" s="25" t="s">
        <v>442</v>
      </c>
      <c r="D167" s="25" t="s">
        <v>448</v>
      </c>
      <c r="E167" s="29" t="s">
        <v>29</v>
      </c>
      <c r="F167" s="29" t="s">
        <v>449</v>
      </c>
      <c r="G167" s="25" t="s">
        <v>31</v>
      </c>
      <c r="H167" s="25">
        <v>4</v>
      </c>
      <c r="I167" s="25">
        <f>ROUND(H167*测算依据!$B$6/测算依据!$B$7,0)</f>
        <v>3</v>
      </c>
      <c r="J167" s="25">
        <f t="shared" si="2"/>
        <v>18</v>
      </c>
      <c r="K167" s="25" t="s">
        <v>20</v>
      </c>
      <c r="L167" s="28" t="s">
        <v>39</v>
      </c>
      <c r="M167" s="27" t="s">
        <v>376</v>
      </c>
      <c r="N167" s="27" t="s">
        <v>450</v>
      </c>
    </row>
    <row r="168" s="18" customFormat="1" ht="18" customHeight="1" spans="1:14">
      <c r="A168" s="25">
        <v>151</v>
      </c>
      <c r="B168" s="25" t="s">
        <v>372</v>
      </c>
      <c r="C168" s="25" t="s">
        <v>442</v>
      </c>
      <c r="D168" s="25" t="s">
        <v>448</v>
      </c>
      <c r="E168" s="29" t="s">
        <v>29</v>
      </c>
      <c r="F168" s="29" t="s">
        <v>451</v>
      </c>
      <c r="G168" s="25" t="s">
        <v>31</v>
      </c>
      <c r="H168" s="25">
        <v>4</v>
      </c>
      <c r="I168" s="25">
        <f>ROUND(H168*测算依据!$B$6/测算依据!$B$7,0)</f>
        <v>3</v>
      </c>
      <c r="J168" s="25">
        <f t="shared" si="2"/>
        <v>18</v>
      </c>
      <c r="K168" s="25" t="s">
        <v>20</v>
      </c>
      <c r="L168" s="28" t="s">
        <v>39</v>
      </c>
      <c r="M168" s="27" t="s">
        <v>376</v>
      </c>
      <c r="N168" s="27" t="s">
        <v>450</v>
      </c>
    </row>
    <row r="169" s="18" customFormat="1" ht="18" customHeight="1" spans="1:14">
      <c r="A169" s="25">
        <v>152</v>
      </c>
      <c r="B169" s="25" t="s">
        <v>372</v>
      </c>
      <c r="C169" s="25" t="s">
        <v>442</v>
      </c>
      <c r="D169" s="25" t="s">
        <v>448</v>
      </c>
      <c r="E169" s="29" t="s">
        <v>29</v>
      </c>
      <c r="F169" s="29" t="s">
        <v>452</v>
      </c>
      <c r="G169" s="25" t="s">
        <v>31</v>
      </c>
      <c r="H169" s="25">
        <v>4</v>
      </c>
      <c r="I169" s="25">
        <f>ROUND(H169*测算依据!$B$6/测算依据!$B$7,0)</f>
        <v>3</v>
      </c>
      <c r="J169" s="25">
        <f t="shared" si="2"/>
        <v>18</v>
      </c>
      <c r="K169" s="25" t="s">
        <v>20</v>
      </c>
      <c r="L169" s="28" t="s">
        <v>39</v>
      </c>
      <c r="M169" s="27" t="s">
        <v>376</v>
      </c>
      <c r="N169" s="27" t="s">
        <v>453</v>
      </c>
    </row>
    <row r="170" s="18" customFormat="1" ht="18" customHeight="1" spans="1:14">
      <c r="A170" s="25">
        <v>221</v>
      </c>
      <c r="B170" s="25" t="s">
        <v>454</v>
      </c>
      <c r="C170" s="25" t="s">
        <v>455</v>
      </c>
      <c r="D170" s="25" t="s">
        <v>456</v>
      </c>
      <c r="E170" s="29" t="s">
        <v>457</v>
      </c>
      <c r="F170" s="29" t="s">
        <v>458</v>
      </c>
      <c r="G170" s="25" t="s">
        <v>19</v>
      </c>
      <c r="H170" s="25">
        <v>4</v>
      </c>
      <c r="I170" s="25">
        <f>ROUND(H170*测算依据!$B$6/测算依据!$B$7,0)</f>
        <v>3</v>
      </c>
      <c r="J170" s="25">
        <f t="shared" si="2"/>
        <v>15</v>
      </c>
      <c r="K170" s="25" t="s">
        <v>20</v>
      </c>
      <c r="L170" s="30" t="s">
        <v>21</v>
      </c>
      <c r="M170" s="27" t="s">
        <v>318</v>
      </c>
      <c r="N170" s="27" t="s">
        <v>459</v>
      </c>
    </row>
    <row r="171" s="18" customFormat="1" ht="18" customHeight="1" spans="1:14">
      <c r="A171" s="25">
        <v>222</v>
      </c>
      <c r="B171" s="25" t="s">
        <v>454</v>
      </c>
      <c r="C171" s="25" t="s">
        <v>455</v>
      </c>
      <c r="D171" s="25" t="s">
        <v>456</v>
      </c>
      <c r="E171" s="29" t="s">
        <v>89</v>
      </c>
      <c r="F171" s="29" t="s">
        <v>460</v>
      </c>
      <c r="G171" s="25" t="s">
        <v>31</v>
      </c>
      <c r="H171" s="25">
        <v>4</v>
      </c>
      <c r="I171" s="25">
        <f>ROUND(H171*测算依据!$B$6/测算依据!$B$7,0)</f>
        <v>3</v>
      </c>
      <c r="J171" s="25">
        <f t="shared" si="2"/>
        <v>15</v>
      </c>
      <c r="K171" s="25" t="s">
        <v>20</v>
      </c>
      <c r="L171" s="30" t="s">
        <v>21</v>
      </c>
      <c r="M171" s="27" t="s">
        <v>318</v>
      </c>
      <c r="N171" s="27" t="s">
        <v>459</v>
      </c>
    </row>
    <row r="172" s="18" customFormat="1" ht="18" customHeight="1" spans="1:14">
      <c r="A172" s="25">
        <v>223</v>
      </c>
      <c r="B172" s="25" t="s">
        <v>454</v>
      </c>
      <c r="C172" s="25" t="s">
        <v>455</v>
      </c>
      <c r="D172" s="25" t="s">
        <v>461</v>
      </c>
      <c r="E172" s="29" t="s">
        <v>462</v>
      </c>
      <c r="F172" s="29" t="s">
        <v>463</v>
      </c>
      <c r="G172" s="25" t="s">
        <v>31</v>
      </c>
      <c r="H172" s="25">
        <v>4</v>
      </c>
      <c r="I172" s="25">
        <f>ROUND(H172*测算依据!$B$6/测算依据!$B$7,0)</f>
        <v>3</v>
      </c>
      <c r="J172" s="25">
        <f t="shared" si="2"/>
        <v>15</v>
      </c>
      <c r="K172" s="25" t="s">
        <v>20</v>
      </c>
      <c r="L172" s="30" t="s">
        <v>21</v>
      </c>
      <c r="M172" s="27" t="s">
        <v>318</v>
      </c>
      <c r="N172" s="27" t="s">
        <v>459</v>
      </c>
    </row>
    <row r="173" s="18" customFormat="1" ht="18" customHeight="1" spans="1:14">
      <c r="A173" s="25">
        <v>224</v>
      </c>
      <c r="B173" s="25" t="s">
        <v>454</v>
      </c>
      <c r="C173" s="25" t="s">
        <v>455</v>
      </c>
      <c r="D173" s="25" t="s">
        <v>461</v>
      </c>
      <c r="E173" s="29" t="s">
        <v>462</v>
      </c>
      <c r="F173" s="29" t="s">
        <v>464</v>
      </c>
      <c r="G173" s="25" t="s">
        <v>31</v>
      </c>
      <c r="H173" s="25">
        <v>4</v>
      </c>
      <c r="I173" s="25">
        <f>ROUND(H173*测算依据!$B$6/测算依据!$B$7,0)</f>
        <v>3</v>
      </c>
      <c r="J173" s="25">
        <f t="shared" si="2"/>
        <v>15</v>
      </c>
      <c r="K173" s="25" t="s">
        <v>20</v>
      </c>
      <c r="L173" s="30" t="s">
        <v>21</v>
      </c>
      <c r="M173" s="27" t="s">
        <v>318</v>
      </c>
      <c r="N173" s="27" t="s">
        <v>459</v>
      </c>
    </row>
    <row r="174" s="18" customFormat="1" ht="18" customHeight="1" spans="1:14">
      <c r="A174" s="25">
        <v>225</v>
      </c>
      <c r="B174" s="25" t="s">
        <v>454</v>
      </c>
      <c r="C174" s="25" t="s">
        <v>455</v>
      </c>
      <c r="D174" s="25" t="s">
        <v>461</v>
      </c>
      <c r="E174" s="29" t="s">
        <v>462</v>
      </c>
      <c r="F174" s="29" t="s">
        <v>465</v>
      </c>
      <c r="G174" s="25" t="s">
        <v>31</v>
      </c>
      <c r="H174" s="25">
        <v>4</v>
      </c>
      <c r="I174" s="25">
        <f>ROUND(H174*测算依据!$B$6/测算依据!$B$7,0)</f>
        <v>3</v>
      </c>
      <c r="J174" s="25">
        <f t="shared" si="2"/>
        <v>15</v>
      </c>
      <c r="K174" s="25" t="s">
        <v>20</v>
      </c>
      <c r="L174" s="30" t="s">
        <v>21</v>
      </c>
      <c r="M174" s="27" t="s">
        <v>318</v>
      </c>
      <c r="N174" s="27" t="s">
        <v>459</v>
      </c>
    </row>
    <row r="175" s="18" customFormat="1" ht="18" customHeight="1" spans="1:14">
      <c r="A175" s="25">
        <v>226</v>
      </c>
      <c r="B175" s="25" t="s">
        <v>454</v>
      </c>
      <c r="C175" s="25" t="s">
        <v>466</v>
      </c>
      <c r="D175" s="25" t="s">
        <v>467</v>
      </c>
      <c r="E175" s="29" t="s">
        <v>29</v>
      </c>
      <c r="F175" s="29" t="s">
        <v>468</v>
      </c>
      <c r="G175" s="25" t="s">
        <v>45</v>
      </c>
      <c r="H175" s="25">
        <v>5</v>
      </c>
      <c r="I175" s="25">
        <f>ROUND(H175*测算依据!$B$6/测算依据!$B$7,0)</f>
        <v>4</v>
      </c>
      <c r="J175" s="25">
        <f t="shared" si="2"/>
        <v>12</v>
      </c>
      <c r="K175" s="25" t="s">
        <v>20</v>
      </c>
      <c r="L175" s="30" t="s">
        <v>21</v>
      </c>
      <c r="M175" s="27" t="s">
        <v>318</v>
      </c>
      <c r="N175" s="27" t="s">
        <v>459</v>
      </c>
    </row>
    <row r="176" s="18" customFormat="1" ht="18" customHeight="1" spans="1:14">
      <c r="A176" s="25">
        <v>227</v>
      </c>
      <c r="B176" s="25" t="s">
        <v>454</v>
      </c>
      <c r="C176" s="25" t="s">
        <v>466</v>
      </c>
      <c r="D176" s="25" t="s">
        <v>467</v>
      </c>
      <c r="E176" s="29" t="s">
        <v>29</v>
      </c>
      <c r="F176" s="29" t="s">
        <v>469</v>
      </c>
      <c r="G176" s="25" t="s">
        <v>45</v>
      </c>
      <c r="H176" s="25">
        <v>5</v>
      </c>
      <c r="I176" s="25">
        <f>ROUND(H176*测算依据!$B$6/测算依据!$B$7,0)</f>
        <v>4</v>
      </c>
      <c r="J176" s="25">
        <f t="shared" si="2"/>
        <v>12</v>
      </c>
      <c r="K176" s="25" t="s">
        <v>20</v>
      </c>
      <c r="L176" s="30" t="s">
        <v>21</v>
      </c>
      <c r="M176" s="27" t="s">
        <v>318</v>
      </c>
      <c r="N176" s="27" t="s">
        <v>459</v>
      </c>
    </row>
    <row r="177" s="18" customFormat="1" ht="18" customHeight="1" spans="1:14">
      <c r="A177" s="25">
        <v>228</v>
      </c>
      <c r="B177" s="25" t="s">
        <v>454</v>
      </c>
      <c r="C177" s="25" t="s">
        <v>466</v>
      </c>
      <c r="D177" s="25" t="s">
        <v>467</v>
      </c>
      <c r="E177" s="29" t="s">
        <v>29</v>
      </c>
      <c r="F177" s="29" t="s">
        <v>470</v>
      </c>
      <c r="G177" s="25" t="s">
        <v>45</v>
      </c>
      <c r="H177" s="25">
        <v>5</v>
      </c>
      <c r="I177" s="25">
        <f>ROUND(H177*测算依据!$B$6/测算依据!$B$7,0)</f>
        <v>4</v>
      </c>
      <c r="J177" s="25">
        <f t="shared" si="2"/>
        <v>12</v>
      </c>
      <c r="K177" s="25" t="s">
        <v>20</v>
      </c>
      <c r="L177" s="30" t="s">
        <v>21</v>
      </c>
      <c r="M177" s="27" t="s">
        <v>318</v>
      </c>
      <c r="N177" s="27" t="s">
        <v>459</v>
      </c>
    </row>
    <row r="178" s="18" customFormat="1" ht="18" customHeight="1" spans="1:14">
      <c r="A178" s="25">
        <v>229</v>
      </c>
      <c r="B178" s="25" t="s">
        <v>454</v>
      </c>
      <c r="C178" s="25" t="s">
        <v>471</v>
      </c>
      <c r="D178" s="25" t="s">
        <v>472</v>
      </c>
      <c r="E178" s="29" t="s">
        <v>104</v>
      </c>
      <c r="F178" s="29" t="s">
        <v>473</v>
      </c>
      <c r="G178" s="25" t="s">
        <v>31</v>
      </c>
      <c r="H178" s="25">
        <v>4</v>
      </c>
      <c r="I178" s="25">
        <f>ROUND(H178*测算依据!$B$6/测算依据!$B$7,0)</f>
        <v>3</v>
      </c>
      <c r="J178" s="25">
        <f t="shared" si="2"/>
        <v>57</v>
      </c>
      <c r="K178" s="25" t="s">
        <v>20</v>
      </c>
      <c r="L178" s="30" t="s">
        <v>21</v>
      </c>
      <c r="M178" s="27" t="s">
        <v>318</v>
      </c>
      <c r="N178" s="27" t="s">
        <v>459</v>
      </c>
    </row>
    <row r="179" s="18" customFormat="1" ht="18" customHeight="1" spans="1:14">
      <c r="A179" s="25">
        <v>230</v>
      </c>
      <c r="B179" s="25" t="s">
        <v>454</v>
      </c>
      <c r="C179" s="25" t="s">
        <v>471</v>
      </c>
      <c r="D179" s="25" t="s">
        <v>472</v>
      </c>
      <c r="E179" s="29" t="s">
        <v>104</v>
      </c>
      <c r="F179" s="29" t="s">
        <v>474</v>
      </c>
      <c r="G179" s="25" t="s">
        <v>31</v>
      </c>
      <c r="H179" s="25">
        <v>4</v>
      </c>
      <c r="I179" s="25">
        <f>ROUND(H179*测算依据!$B$6/测算依据!$B$7,0)</f>
        <v>3</v>
      </c>
      <c r="J179" s="25">
        <f t="shared" si="2"/>
        <v>57</v>
      </c>
      <c r="K179" s="25" t="s">
        <v>20</v>
      </c>
      <c r="L179" s="30" t="s">
        <v>21</v>
      </c>
      <c r="M179" s="27" t="s">
        <v>318</v>
      </c>
      <c r="N179" s="27" t="s">
        <v>459</v>
      </c>
    </row>
    <row r="180" s="18" customFormat="1" ht="18" customHeight="1" spans="1:14">
      <c r="A180" s="25">
        <v>231</v>
      </c>
      <c r="B180" s="25" t="s">
        <v>454</v>
      </c>
      <c r="C180" s="25" t="s">
        <v>471</v>
      </c>
      <c r="D180" s="25" t="s">
        <v>472</v>
      </c>
      <c r="E180" s="29" t="s">
        <v>104</v>
      </c>
      <c r="F180" s="29" t="s">
        <v>475</v>
      </c>
      <c r="G180" s="25" t="s">
        <v>31</v>
      </c>
      <c r="H180" s="25">
        <v>4</v>
      </c>
      <c r="I180" s="25">
        <f>ROUND(H180*测算依据!$B$6/测算依据!$B$7,0)</f>
        <v>3</v>
      </c>
      <c r="J180" s="25">
        <f t="shared" si="2"/>
        <v>57</v>
      </c>
      <c r="K180" s="25" t="s">
        <v>20</v>
      </c>
      <c r="L180" s="30" t="s">
        <v>21</v>
      </c>
      <c r="M180" s="27" t="s">
        <v>318</v>
      </c>
      <c r="N180" s="27" t="s">
        <v>459</v>
      </c>
    </row>
    <row r="181" s="18" customFormat="1" ht="18" customHeight="1" spans="1:14">
      <c r="A181" s="25">
        <v>232</v>
      </c>
      <c r="B181" s="25" t="s">
        <v>454</v>
      </c>
      <c r="C181" s="25" t="s">
        <v>471</v>
      </c>
      <c r="D181" s="25" t="s">
        <v>472</v>
      </c>
      <c r="E181" s="29" t="s">
        <v>104</v>
      </c>
      <c r="F181" s="29" t="s">
        <v>476</v>
      </c>
      <c r="G181" s="25" t="s">
        <v>31</v>
      </c>
      <c r="H181" s="25">
        <v>4</v>
      </c>
      <c r="I181" s="25">
        <f>ROUND(H181*测算依据!$B$6/测算依据!$B$7,0)</f>
        <v>3</v>
      </c>
      <c r="J181" s="25">
        <f t="shared" si="2"/>
        <v>57</v>
      </c>
      <c r="K181" s="25" t="s">
        <v>20</v>
      </c>
      <c r="L181" s="30" t="s">
        <v>21</v>
      </c>
      <c r="M181" s="27" t="s">
        <v>318</v>
      </c>
      <c r="N181" s="27" t="s">
        <v>459</v>
      </c>
    </row>
    <row r="182" s="18" customFormat="1" ht="18" customHeight="1" spans="1:14">
      <c r="A182" s="25">
        <v>233</v>
      </c>
      <c r="B182" s="25" t="s">
        <v>454</v>
      </c>
      <c r="C182" s="25" t="s">
        <v>471</v>
      </c>
      <c r="D182" s="25" t="s">
        <v>472</v>
      </c>
      <c r="E182" s="29" t="s">
        <v>104</v>
      </c>
      <c r="F182" s="29" t="s">
        <v>477</v>
      </c>
      <c r="G182" s="25" t="s">
        <v>31</v>
      </c>
      <c r="H182" s="25">
        <v>4</v>
      </c>
      <c r="I182" s="25">
        <f>ROUND(H182*测算依据!$B$6/测算依据!$B$7,0)</f>
        <v>3</v>
      </c>
      <c r="J182" s="25">
        <f t="shared" si="2"/>
        <v>57</v>
      </c>
      <c r="K182" s="25" t="s">
        <v>20</v>
      </c>
      <c r="L182" s="30" t="s">
        <v>21</v>
      </c>
      <c r="M182" s="27" t="s">
        <v>318</v>
      </c>
      <c r="N182" s="27" t="s">
        <v>459</v>
      </c>
    </row>
    <row r="183" s="18" customFormat="1" ht="18" customHeight="1" spans="1:14">
      <c r="A183" s="25">
        <v>234</v>
      </c>
      <c r="B183" s="25" t="s">
        <v>454</v>
      </c>
      <c r="C183" s="25" t="s">
        <v>471</v>
      </c>
      <c r="D183" s="25" t="s">
        <v>478</v>
      </c>
      <c r="E183" s="29" t="s">
        <v>479</v>
      </c>
      <c r="F183" s="29" t="s">
        <v>480</v>
      </c>
      <c r="G183" s="25" t="s">
        <v>31</v>
      </c>
      <c r="H183" s="25">
        <v>4</v>
      </c>
      <c r="I183" s="25">
        <f>ROUND(H183*测算依据!$B$6/测算依据!$B$7,0)</f>
        <v>3</v>
      </c>
      <c r="J183" s="25">
        <f t="shared" si="2"/>
        <v>57</v>
      </c>
      <c r="K183" s="25" t="s">
        <v>20</v>
      </c>
      <c r="L183" s="30" t="s">
        <v>21</v>
      </c>
      <c r="M183" s="27" t="s">
        <v>318</v>
      </c>
      <c r="N183" s="27" t="s">
        <v>459</v>
      </c>
    </row>
    <row r="184" s="18" customFormat="1" ht="18" customHeight="1" spans="1:14">
      <c r="A184" s="25">
        <v>235</v>
      </c>
      <c r="B184" s="25" t="s">
        <v>454</v>
      </c>
      <c r="C184" s="25" t="s">
        <v>471</v>
      </c>
      <c r="D184" s="25" t="s">
        <v>478</v>
      </c>
      <c r="E184" s="29" t="s">
        <v>479</v>
      </c>
      <c r="F184" s="29" t="s">
        <v>481</v>
      </c>
      <c r="G184" s="25" t="s">
        <v>31</v>
      </c>
      <c r="H184" s="25">
        <v>4</v>
      </c>
      <c r="I184" s="25">
        <f>ROUND(H184*测算依据!$B$6/测算依据!$B$7,0)</f>
        <v>3</v>
      </c>
      <c r="J184" s="25">
        <f t="shared" si="2"/>
        <v>57</v>
      </c>
      <c r="K184" s="25" t="s">
        <v>20</v>
      </c>
      <c r="L184" s="30" t="s">
        <v>21</v>
      </c>
      <c r="M184" s="27" t="s">
        <v>318</v>
      </c>
      <c r="N184" s="27" t="s">
        <v>459</v>
      </c>
    </row>
    <row r="185" s="18" customFormat="1" ht="18" customHeight="1" spans="1:14">
      <c r="A185" s="25">
        <v>236</v>
      </c>
      <c r="B185" s="25" t="s">
        <v>454</v>
      </c>
      <c r="C185" s="25" t="s">
        <v>471</v>
      </c>
      <c r="D185" s="25" t="s">
        <v>478</v>
      </c>
      <c r="E185" s="29" t="s">
        <v>479</v>
      </c>
      <c r="F185" s="29" t="s">
        <v>482</v>
      </c>
      <c r="G185" s="25" t="s">
        <v>31</v>
      </c>
      <c r="H185" s="25">
        <v>4</v>
      </c>
      <c r="I185" s="25">
        <f>ROUND(H185*测算依据!$B$6/测算依据!$B$7,0)</f>
        <v>3</v>
      </c>
      <c r="J185" s="25">
        <f t="shared" si="2"/>
        <v>57</v>
      </c>
      <c r="K185" s="25" t="s">
        <v>20</v>
      </c>
      <c r="L185" s="30" t="s">
        <v>21</v>
      </c>
      <c r="M185" s="27" t="s">
        <v>318</v>
      </c>
      <c r="N185" s="27" t="s">
        <v>459</v>
      </c>
    </row>
    <row r="186" s="18" customFormat="1" ht="18" customHeight="1" spans="1:14">
      <c r="A186" s="25">
        <v>237</v>
      </c>
      <c r="B186" s="25" t="s">
        <v>454</v>
      </c>
      <c r="C186" s="25" t="s">
        <v>471</v>
      </c>
      <c r="D186" s="25" t="s">
        <v>478</v>
      </c>
      <c r="E186" s="29" t="s">
        <v>479</v>
      </c>
      <c r="F186" s="29" t="s">
        <v>483</v>
      </c>
      <c r="G186" s="25" t="s">
        <v>31</v>
      </c>
      <c r="H186" s="25">
        <v>4</v>
      </c>
      <c r="I186" s="25">
        <f>ROUND(H186*测算依据!$B$6/测算依据!$B$7,0)</f>
        <v>3</v>
      </c>
      <c r="J186" s="25">
        <f t="shared" si="2"/>
        <v>57</v>
      </c>
      <c r="K186" s="25" t="s">
        <v>20</v>
      </c>
      <c r="L186" s="30" t="s">
        <v>21</v>
      </c>
      <c r="M186" s="27" t="s">
        <v>318</v>
      </c>
      <c r="N186" s="27" t="s">
        <v>459</v>
      </c>
    </row>
    <row r="187" s="18" customFormat="1" ht="18" customHeight="1" spans="1:14">
      <c r="A187" s="25">
        <v>238</v>
      </c>
      <c r="B187" s="25" t="s">
        <v>454</v>
      </c>
      <c r="C187" s="25" t="s">
        <v>471</v>
      </c>
      <c r="D187" s="25" t="s">
        <v>484</v>
      </c>
      <c r="E187" s="29" t="s">
        <v>485</v>
      </c>
      <c r="F187" s="29" t="s">
        <v>486</v>
      </c>
      <c r="G187" s="25" t="s">
        <v>31</v>
      </c>
      <c r="H187" s="25">
        <v>4</v>
      </c>
      <c r="I187" s="25">
        <f>ROUND(H187*测算依据!$B$6/测算依据!$B$7,0)</f>
        <v>3</v>
      </c>
      <c r="J187" s="25">
        <f t="shared" si="2"/>
        <v>57</v>
      </c>
      <c r="K187" s="25" t="s">
        <v>20</v>
      </c>
      <c r="L187" s="30" t="s">
        <v>21</v>
      </c>
      <c r="M187" s="27" t="s">
        <v>318</v>
      </c>
      <c r="N187" s="27" t="s">
        <v>459</v>
      </c>
    </row>
    <row r="188" s="18" customFormat="1" ht="18" customHeight="1" spans="1:14">
      <c r="A188" s="25">
        <v>239</v>
      </c>
      <c r="B188" s="25" t="s">
        <v>454</v>
      </c>
      <c r="C188" s="25" t="s">
        <v>471</v>
      </c>
      <c r="D188" s="25" t="s">
        <v>484</v>
      </c>
      <c r="E188" s="29" t="s">
        <v>485</v>
      </c>
      <c r="F188" s="29" t="s">
        <v>487</v>
      </c>
      <c r="G188" s="25" t="s">
        <v>31</v>
      </c>
      <c r="H188" s="25">
        <v>4</v>
      </c>
      <c r="I188" s="25">
        <f>ROUND(H188*测算依据!$B$6/测算依据!$B$7,0)</f>
        <v>3</v>
      </c>
      <c r="J188" s="25">
        <f t="shared" ref="J188:J251" si="3">SUMIFS($I$2:$I$273,$B$2:$B$273,B188,$C$2:$C$273,C188)</f>
        <v>57</v>
      </c>
      <c r="K188" s="25" t="s">
        <v>20</v>
      </c>
      <c r="L188" s="30" t="s">
        <v>21</v>
      </c>
      <c r="M188" s="27" t="s">
        <v>318</v>
      </c>
      <c r="N188" s="27" t="s">
        <v>459</v>
      </c>
    </row>
    <row r="189" s="18" customFormat="1" ht="18" customHeight="1" spans="1:14">
      <c r="A189" s="25">
        <v>240</v>
      </c>
      <c r="B189" s="25" t="s">
        <v>454</v>
      </c>
      <c r="C189" s="25" t="s">
        <v>471</v>
      </c>
      <c r="D189" s="25" t="s">
        <v>484</v>
      </c>
      <c r="E189" s="29" t="s">
        <v>485</v>
      </c>
      <c r="F189" s="29" t="s">
        <v>488</v>
      </c>
      <c r="G189" s="25" t="s">
        <v>31</v>
      </c>
      <c r="H189" s="25">
        <v>4</v>
      </c>
      <c r="I189" s="25">
        <f>ROUND(H189*测算依据!$B$6/测算依据!$B$7,0)</f>
        <v>3</v>
      </c>
      <c r="J189" s="25">
        <f t="shared" si="3"/>
        <v>57</v>
      </c>
      <c r="K189" s="25" t="s">
        <v>20</v>
      </c>
      <c r="L189" s="30" t="s">
        <v>21</v>
      </c>
      <c r="M189" s="27" t="s">
        <v>318</v>
      </c>
      <c r="N189" s="27" t="s">
        <v>459</v>
      </c>
    </row>
    <row r="190" s="18" customFormat="1" ht="18" customHeight="1" spans="1:14">
      <c r="A190" s="25">
        <v>241</v>
      </c>
      <c r="B190" s="25" t="s">
        <v>454</v>
      </c>
      <c r="C190" s="25" t="s">
        <v>471</v>
      </c>
      <c r="D190" s="25" t="s">
        <v>484</v>
      </c>
      <c r="E190" s="29" t="s">
        <v>485</v>
      </c>
      <c r="F190" s="29" t="s">
        <v>489</v>
      </c>
      <c r="G190" s="25" t="s">
        <v>31</v>
      </c>
      <c r="H190" s="25">
        <v>4</v>
      </c>
      <c r="I190" s="25">
        <f>ROUND(H190*测算依据!$B$6/测算依据!$B$7,0)</f>
        <v>3</v>
      </c>
      <c r="J190" s="25">
        <f t="shared" si="3"/>
        <v>57</v>
      </c>
      <c r="K190" s="25" t="s">
        <v>20</v>
      </c>
      <c r="L190" s="30" t="s">
        <v>21</v>
      </c>
      <c r="M190" s="27" t="s">
        <v>318</v>
      </c>
      <c r="N190" s="27" t="s">
        <v>459</v>
      </c>
    </row>
    <row r="191" s="18" customFormat="1" ht="18" customHeight="1" spans="1:14">
      <c r="A191" s="25">
        <v>242</v>
      </c>
      <c r="B191" s="25" t="s">
        <v>454</v>
      </c>
      <c r="C191" s="25" t="s">
        <v>471</v>
      </c>
      <c r="D191" s="25" t="s">
        <v>484</v>
      </c>
      <c r="E191" s="29" t="s">
        <v>485</v>
      </c>
      <c r="F191" s="29" t="s">
        <v>490</v>
      </c>
      <c r="G191" s="25" t="s">
        <v>31</v>
      </c>
      <c r="H191" s="25">
        <v>4</v>
      </c>
      <c r="I191" s="25">
        <f>ROUND(H191*测算依据!$B$6/测算依据!$B$7,0)</f>
        <v>3</v>
      </c>
      <c r="J191" s="25">
        <f t="shared" si="3"/>
        <v>57</v>
      </c>
      <c r="K191" s="25" t="s">
        <v>20</v>
      </c>
      <c r="L191" s="30" t="s">
        <v>21</v>
      </c>
      <c r="M191" s="27" t="s">
        <v>318</v>
      </c>
      <c r="N191" s="27" t="s">
        <v>459</v>
      </c>
    </row>
    <row r="192" s="18" customFormat="1" ht="18" customHeight="1" spans="1:14">
      <c r="A192" s="25">
        <v>243</v>
      </c>
      <c r="B192" s="25" t="s">
        <v>454</v>
      </c>
      <c r="C192" s="25" t="s">
        <v>471</v>
      </c>
      <c r="D192" s="25" t="s">
        <v>491</v>
      </c>
      <c r="E192" s="29" t="s">
        <v>485</v>
      </c>
      <c r="F192" s="29" t="s">
        <v>492</v>
      </c>
      <c r="G192" s="25" t="s">
        <v>31</v>
      </c>
      <c r="H192" s="25">
        <v>4</v>
      </c>
      <c r="I192" s="25">
        <f>ROUND(H192*测算依据!$B$6/测算依据!$B$7,0)</f>
        <v>3</v>
      </c>
      <c r="J192" s="25">
        <f t="shared" si="3"/>
        <v>57</v>
      </c>
      <c r="K192" s="25" t="s">
        <v>20</v>
      </c>
      <c r="L192" s="30" t="s">
        <v>21</v>
      </c>
      <c r="M192" s="27" t="s">
        <v>318</v>
      </c>
      <c r="N192" s="27" t="s">
        <v>459</v>
      </c>
    </row>
    <row r="193" s="18" customFormat="1" ht="18" customHeight="1" spans="1:14">
      <c r="A193" s="25">
        <v>244</v>
      </c>
      <c r="B193" s="25" t="s">
        <v>454</v>
      </c>
      <c r="C193" s="25" t="s">
        <v>471</v>
      </c>
      <c r="D193" s="25" t="s">
        <v>491</v>
      </c>
      <c r="E193" s="29" t="s">
        <v>485</v>
      </c>
      <c r="F193" s="29" t="s">
        <v>493</v>
      </c>
      <c r="G193" s="25" t="s">
        <v>31</v>
      </c>
      <c r="H193" s="25">
        <v>4</v>
      </c>
      <c r="I193" s="25">
        <f>ROUND(H193*测算依据!$B$6/测算依据!$B$7,0)</f>
        <v>3</v>
      </c>
      <c r="J193" s="25">
        <f t="shared" si="3"/>
        <v>57</v>
      </c>
      <c r="K193" s="25" t="s">
        <v>20</v>
      </c>
      <c r="L193" s="30" t="s">
        <v>21</v>
      </c>
      <c r="M193" s="27" t="s">
        <v>318</v>
      </c>
      <c r="N193" s="27" t="s">
        <v>459</v>
      </c>
    </row>
    <row r="194" s="18" customFormat="1" ht="18" customHeight="1" spans="1:14">
      <c r="A194" s="25">
        <v>245</v>
      </c>
      <c r="B194" s="25" t="s">
        <v>454</v>
      </c>
      <c r="C194" s="25" t="s">
        <v>471</v>
      </c>
      <c r="D194" s="25" t="s">
        <v>491</v>
      </c>
      <c r="E194" s="29" t="s">
        <v>485</v>
      </c>
      <c r="F194" s="29" t="s">
        <v>494</v>
      </c>
      <c r="G194" s="25" t="s">
        <v>31</v>
      </c>
      <c r="H194" s="25">
        <v>4</v>
      </c>
      <c r="I194" s="25">
        <f>ROUND(H194*测算依据!$B$6/测算依据!$B$7,0)</f>
        <v>3</v>
      </c>
      <c r="J194" s="25">
        <f t="shared" si="3"/>
        <v>57</v>
      </c>
      <c r="K194" s="25" t="s">
        <v>20</v>
      </c>
      <c r="L194" s="30" t="s">
        <v>21</v>
      </c>
      <c r="M194" s="27" t="s">
        <v>318</v>
      </c>
      <c r="N194" s="27" t="s">
        <v>459</v>
      </c>
    </row>
    <row r="195" s="18" customFormat="1" ht="18" customHeight="1" spans="1:14">
      <c r="A195" s="25">
        <v>246</v>
      </c>
      <c r="B195" s="25" t="s">
        <v>454</v>
      </c>
      <c r="C195" s="25" t="s">
        <v>471</v>
      </c>
      <c r="D195" s="25" t="s">
        <v>491</v>
      </c>
      <c r="E195" s="29" t="s">
        <v>485</v>
      </c>
      <c r="F195" s="29" t="s">
        <v>495</v>
      </c>
      <c r="G195" s="25" t="s">
        <v>31</v>
      </c>
      <c r="H195" s="25">
        <v>4</v>
      </c>
      <c r="I195" s="25">
        <f>ROUND(H195*测算依据!$B$6/测算依据!$B$7,0)</f>
        <v>3</v>
      </c>
      <c r="J195" s="25">
        <f t="shared" si="3"/>
        <v>57</v>
      </c>
      <c r="K195" s="25" t="s">
        <v>20</v>
      </c>
      <c r="L195" s="30" t="s">
        <v>21</v>
      </c>
      <c r="M195" s="27" t="s">
        <v>318</v>
      </c>
      <c r="N195" s="27" t="s">
        <v>459</v>
      </c>
    </row>
    <row r="196" s="18" customFormat="1" ht="18" customHeight="1" spans="1:14">
      <c r="A196" s="25">
        <v>247</v>
      </c>
      <c r="B196" s="25" t="s">
        <v>454</v>
      </c>
      <c r="C196" s="25" t="s">
        <v>471</v>
      </c>
      <c r="D196" s="25" t="s">
        <v>491</v>
      </c>
      <c r="E196" s="29" t="s">
        <v>485</v>
      </c>
      <c r="F196" s="29" t="s">
        <v>496</v>
      </c>
      <c r="G196" s="25" t="s">
        <v>31</v>
      </c>
      <c r="H196" s="25">
        <v>4</v>
      </c>
      <c r="I196" s="25">
        <f>ROUND(H196*测算依据!$B$6/测算依据!$B$7,0)</f>
        <v>3</v>
      </c>
      <c r="J196" s="25">
        <f t="shared" si="3"/>
        <v>57</v>
      </c>
      <c r="K196" s="25" t="s">
        <v>20</v>
      </c>
      <c r="L196" s="30" t="s">
        <v>21</v>
      </c>
      <c r="M196" s="27" t="s">
        <v>318</v>
      </c>
      <c r="N196" s="27" t="s">
        <v>459</v>
      </c>
    </row>
    <row r="197" s="18" customFormat="1" ht="18" customHeight="1" spans="1:14">
      <c r="A197" s="25">
        <v>248</v>
      </c>
      <c r="B197" s="25" t="s">
        <v>454</v>
      </c>
      <c r="C197" s="25" t="s">
        <v>497</v>
      </c>
      <c r="D197" s="25" t="s">
        <v>373</v>
      </c>
      <c r="E197" s="29" t="s">
        <v>89</v>
      </c>
      <c r="F197" s="29" t="s">
        <v>498</v>
      </c>
      <c r="G197" s="25" t="s">
        <v>45</v>
      </c>
      <c r="H197" s="25">
        <v>5</v>
      </c>
      <c r="I197" s="25">
        <f>ROUND(H197*测算依据!$B$6/测算依据!$B$7,0)</f>
        <v>4</v>
      </c>
      <c r="J197" s="25">
        <f t="shared" si="3"/>
        <v>20</v>
      </c>
      <c r="K197" s="25" t="s">
        <v>20</v>
      </c>
      <c r="L197" s="30" t="s">
        <v>21</v>
      </c>
      <c r="M197" s="27" t="s">
        <v>318</v>
      </c>
      <c r="N197" s="27" t="s">
        <v>459</v>
      </c>
    </row>
    <row r="198" s="18" customFormat="1" ht="18" customHeight="1" spans="1:14">
      <c r="A198" s="25">
        <v>249</v>
      </c>
      <c r="B198" s="25" t="s">
        <v>454</v>
      </c>
      <c r="C198" s="25" t="s">
        <v>497</v>
      </c>
      <c r="D198" s="25" t="s">
        <v>373</v>
      </c>
      <c r="E198" s="29" t="s">
        <v>89</v>
      </c>
      <c r="F198" s="29" t="s">
        <v>499</v>
      </c>
      <c r="G198" s="25" t="s">
        <v>45</v>
      </c>
      <c r="H198" s="25">
        <v>5</v>
      </c>
      <c r="I198" s="25">
        <f>ROUND(H198*测算依据!$B$6/测算依据!$B$7,0)</f>
        <v>4</v>
      </c>
      <c r="J198" s="25">
        <f t="shared" si="3"/>
        <v>20</v>
      </c>
      <c r="K198" s="25" t="s">
        <v>20</v>
      </c>
      <c r="L198" s="30" t="s">
        <v>21</v>
      </c>
      <c r="M198" s="27" t="s">
        <v>318</v>
      </c>
      <c r="N198" s="27" t="s">
        <v>459</v>
      </c>
    </row>
    <row r="199" s="18" customFormat="1" ht="18" customHeight="1" spans="1:14">
      <c r="A199" s="25">
        <v>250</v>
      </c>
      <c r="B199" s="25" t="s">
        <v>454</v>
      </c>
      <c r="C199" s="25" t="s">
        <v>497</v>
      </c>
      <c r="D199" s="25" t="s">
        <v>373</v>
      </c>
      <c r="E199" s="29" t="s">
        <v>89</v>
      </c>
      <c r="F199" s="29" t="s">
        <v>500</v>
      </c>
      <c r="G199" s="25" t="s">
        <v>45</v>
      </c>
      <c r="H199" s="25">
        <v>5</v>
      </c>
      <c r="I199" s="25">
        <f>ROUND(H199*测算依据!$B$6/测算依据!$B$7,0)</f>
        <v>4</v>
      </c>
      <c r="J199" s="25">
        <f t="shared" si="3"/>
        <v>20</v>
      </c>
      <c r="K199" s="25" t="s">
        <v>20</v>
      </c>
      <c r="L199" s="30" t="s">
        <v>21</v>
      </c>
      <c r="M199" s="27" t="s">
        <v>318</v>
      </c>
      <c r="N199" s="27" t="s">
        <v>459</v>
      </c>
    </row>
    <row r="200" s="18" customFormat="1" ht="18" customHeight="1" spans="1:14">
      <c r="A200" s="25">
        <v>251</v>
      </c>
      <c r="B200" s="25" t="s">
        <v>454</v>
      </c>
      <c r="C200" s="25" t="s">
        <v>497</v>
      </c>
      <c r="D200" s="25" t="s">
        <v>373</v>
      </c>
      <c r="E200" s="29" t="s">
        <v>89</v>
      </c>
      <c r="F200" s="29" t="s">
        <v>501</v>
      </c>
      <c r="G200" s="25" t="s">
        <v>45</v>
      </c>
      <c r="H200" s="25">
        <v>5</v>
      </c>
      <c r="I200" s="25">
        <f>ROUND(H200*测算依据!$B$6/测算依据!$B$7,0)</f>
        <v>4</v>
      </c>
      <c r="J200" s="25">
        <f t="shared" si="3"/>
        <v>20</v>
      </c>
      <c r="K200" s="25" t="s">
        <v>20</v>
      </c>
      <c r="L200" s="30" t="s">
        <v>21</v>
      </c>
      <c r="M200" s="27" t="s">
        <v>318</v>
      </c>
      <c r="N200" s="27" t="s">
        <v>459</v>
      </c>
    </row>
    <row r="201" s="18" customFormat="1" ht="18" customHeight="1" spans="1:14">
      <c r="A201" s="25">
        <v>252</v>
      </c>
      <c r="B201" s="25" t="s">
        <v>454</v>
      </c>
      <c r="C201" s="25" t="s">
        <v>497</v>
      </c>
      <c r="D201" s="25" t="s">
        <v>373</v>
      </c>
      <c r="E201" s="29" t="s">
        <v>89</v>
      </c>
      <c r="F201" s="29" t="s">
        <v>502</v>
      </c>
      <c r="G201" s="25" t="s">
        <v>45</v>
      </c>
      <c r="H201" s="25">
        <v>5</v>
      </c>
      <c r="I201" s="25">
        <f>ROUND(H201*测算依据!$B$6/测算依据!$B$7,0)</f>
        <v>4</v>
      </c>
      <c r="J201" s="25">
        <f t="shared" si="3"/>
        <v>20</v>
      </c>
      <c r="K201" s="25" t="s">
        <v>20</v>
      </c>
      <c r="L201" s="30" t="s">
        <v>21</v>
      </c>
      <c r="M201" s="27" t="s">
        <v>318</v>
      </c>
      <c r="N201" s="27" t="s">
        <v>459</v>
      </c>
    </row>
    <row r="202" s="18" customFormat="1" ht="18" customHeight="1" spans="1:14">
      <c r="A202" s="25">
        <v>253</v>
      </c>
      <c r="B202" s="25" t="s">
        <v>454</v>
      </c>
      <c r="C202" s="25" t="s">
        <v>503</v>
      </c>
      <c r="D202" s="25" t="s">
        <v>504</v>
      </c>
      <c r="E202" s="29" t="s">
        <v>505</v>
      </c>
      <c r="F202" s="29" t="s">
        <v>506</v>
      </c>
      <c r="G202" s="25" t="s">
        <v>19</v>
      </c>
      <c r="H202" s="25">
        <v>4</v>
      </c>
      <c r="I202" s="25">
        <f>ROUND(H202*测算依据!$B$6/测算依据!$B$7,0)</f>
        <v>3</v>
      </c>
      <c r="J202" s="25">
        <f t="shared" si="3"/>
        <v>3</v>
      </c>
      <c r="K202" s="25" t="s">
        <v>20</v>
      </c>
      <c r="L202" s="30" t="s">
        <v>21</v>
      </c>
      <c r="M202" s="27" t="s">
        <v>318</v>
      </c>
      <c r="N202" s="27" t="s">
        <v>459</v>
      </c>
    </row>
    <row r="203" s="18" customFormat="1" ht="18" customHeight="1" spans="1:14">
      <c r="A203" s="25">
        <v>254</v>
      </c>
      <c r="B203" s="25" t="s">
        <v>454</v>
      </c>
      <c r="C203" s="25" t="s">
        <v>507</v>
      </c>
      <c r="D203" s="25" t="s">
        <v>508</v>
      </c>
      <c r="E203" s="29" t="s">
        <v>509</v>
      </c>
      <c r="F203" s="29" t="s">
        <v>510</v>
      </c>
      <c r="G203" s="25" t="s">
        <v>31</v>
      </c>
      <c r="H203" s="25">
        <v>4</v>
      </c>
      <c r="I203" s="25">
        <f>ROUND(H203*测算依据!$B$6/测算依据!$B$7,0)</f>
        <v>3</v>
      </c>
      <c r="J203" s="25">
        <f t="shared" si="3"/>
        <v>31</v>
      </c>
      <c r="K203" s="25" t="s">
        <v>20</v>
      </c>
      <c r="L203" s="30" t="s">
        <v>21</v>
      </c>
      <c r="M203" s="27" t="s">
        <v>318</v>
      </c>
      <c r="N203" s="27" t="s">
        <v>459</v>
      </c>
    </row>
    <row r="204" s="18" customFormat="1" ht="18" customHeight="1" spans="1:14">
      <c r="A204" s="25">
        <v>255</v>
      </c>
      <c r="B204" s="25" t="s">
        <v>454</v>
      </c>
      <c r="C204" s="25" t="s">
        <v>507</v>
      </c>
      <c r="D204" s="25" t="s">
        <v>508</v>
      </c>
      <c r="E204" s="29" t="s">
        <v>509</v>
      </c>
      <c r="F204" s="29" t="s">
        <v>511</v>
      </c>
      <c r="G204" s="25" t="s">
        <v>31</v>
      </c>
      <c r="H204" s="25">
        <v>4</v>
      </c>
      <c r="I204" s="25">
        <f>ROUND(H204*测算依据!$B$6/测算依据!$B$7,0)</f>
        <v>3</v>
      </c>
      <c r="J204" s="25">
        <f t="shared" si="3"/>
        <v>31</v>
      </c>
      <c r="K204" s="25" t="s">
        <v>20</v>
      </c>
      <c r="L204" s="30" t="s">
        <v>21</v>
      </c>
      <c r="M204" s="27" t="s">
        <v>318</v>
      </c>
      <c r="N204" s="27" t="s">
        <v>459</v>
      </c>
    </row>
    <row r="205" s="18" customFormat="1" ht="18" customHeight="1" spans="1:14">
      <c r="A205" s="25">
        <v>256</v>
      </c>
      <c r="B205" s="25" t="s">
        <v>454</v>
      </c>
      <c r="C205" s="25" t="s">
        <v>507</v>
      </c>
      <c r="D205" s="25" t="s">
        <v>508</v>
      </c>
      <c r="E205" s="29" t="s">
        <v>509</v>
      </c>
      <c r="F205" s="29" t="s">
        <v>486</v>
      </c>
      <c r="G205" s="25" t="s">
        <v>31</v>
      </c>
      <c r="H205" s="25">
        <v>4</v>
      </c>
      <c r="I205" s="25">
        <f>ROUND(H205*测算依据!$B$6/测算依据!$B$7,0)</f>
        <v>3</v>
      </c>
      <c r="J205" s="25">
        <f t="shared" si="3"/>
        <v>31</v>
      </c>
      <c r="K205" s="25" t="s">
        <v>20</v>
      </c>
      <c r="L205" s="30" t="s">
        <v>21</v>
      </c>
      <c r="M205" s="27" t="s">
        <v>318</v>
      </c>
      <c r="N205" s="27" t="s">
        <v>459</v>
      </c>
    </row>
    <row r="206" s="18" customFormat="1" ht="18" customHeight="1" spans="1:14">
      <c r="A206" s="25">
        <v>257</v>
      </c>
      <c r="B206" s="25" t="s">
        <v>454</v>
      </c>
      <c r="C206" s="25" t="s">
        <v>507</v>
      </c>
      <c r="D206" s="25" t="s">
        <v>508</v>
      </c>
      <c r="E206" s="29" t="s">
        <v>509</v>
      </c>
      <c r="F206" s="29" t="s">
        <v>512</v>
      </c>
      <c r="G206" s="25" t="s">
        <v>31</v>
      </c>
      <c r="H206" s="25">
        <v>4</v>
      </c>
      <c r="I206" s="25">
        <f>ROUND(H206*测算依据!$B$6/测算依据!$B$7,0)</f>
        <v>3</v>
      </c>
      <c r="J206" s="25">
        <f t="shared" si="3"/>
        <v>31</v>
      </c>
      <c r="K206" s="25" t="s">
        <v>20</v>
      </c>
      <c r="L206" s="30" t="s">
        <v>21</v>
      </c>
      <c r="M206" s="27" t="s">
        <v>318</v>
      </c>
      <c r="N206" s="27" t="s">
        <v>459</v>
      </c>
    </row>
    <row r="207" s="18" customFormat="1" ht="18" customHeight="1" spans="1:14">
      <c r="A207" s="25">
        <v>258</v>
      </c>
      <c r="B207" s="25" t="s">
        <v>454</v>
      </c>
      <c r="C207" s="25" t="s">
        <v>507</v>
      </c>
      <c r="D207" s="25" t="s">
        <v>513</v>
      </c>
      <c r="E207" s="29" t="s">
        <v>89</v>
      </c>
      <c r="F207" s="29" t="s">
        <v>514</v>
      </c>
      <c r="G207" s="25" t="s">
        <v>45</v>
      </c>
      <c r="H207" s="25">
        <v>5</v>
      </c>
      <c r="I207" s="25">
        <f>ROUND(H207*测算依据!$B$6/测算依据!$B$7,0)</f>
        <v>4</v>
      </c>
      <c r="J207" s="25">
        <f t="shared" si="3"/>
        <v>31</v>
      </c>
      <c r="K207" s="25" t="s">
        <v>20</v>
      </c>
      <c r="L207" s="30" t="s">
        <v>21</v>
      </c>
      <c r="M207" s="27" t="s">
        <v>318</v>
      </c>
      <c r="N207" s="27" t="s">
        <v>459</v>
      </c>
    </row>
    <row r="208" s="18" customFormat="1" ht="18" customHeight="1" spans="1:14">
      <c r="A208" s="25">
        <v>259</v>
      </c>
      <c r="B208" s="25" t="s">
        <v>454</v>
      </c>
      <c r="C208" s="25" t="s">
        <v>507</v>
      </c>
      <c r="D208" s="25" t="s">
        <v>513</v>
      </c>
      <c r="E208" s="29" t="s">
        <v>89</v>
      </c>
      <c r="F208" s="29" t="s">
        <v>515</v>
      </c>
      <c r="G208" s="25" t="s">
        <v>45</v>
      </c>
      <c r="H208" s="25">
        <v>5</v>
      </c>
      <c r="I208" s="25">
        <f>ROUND(H208*测算依据!$B$6/测算依据!$B$7,0)</f>
        <v>4</v>
      </c>
      <c r="J208" s="25">
        <f t="shared" si="3"/>
        <v>31</v>
      </c>
      <c r="K208" s="25" t="s">
        <v>20</v>
      </c>
      <c r="L208" s="30" t="s">
        <v>21</v>
      </c>
      <c r="M208" s="27" t="s">
        <v>318</v>
      </c>
      <c r="N208" s="27" t="s">
        <v>459</v>
      </c>
    </row>
    <row r="209" s="18" customFormat="1" ht="18" customHeight="1" spans="1:14">
      <c r="A209" s="25">
        <v>260</v>
      </c>
      <c r="B209" s="25" t="s">
        <v>454</v>
      </c>
      <c r="C209" s="25" t="s">
        <v>507</v>
      </c>
      <c r="D209" s="25" t="s">
        <v>513</v>
      </c>
      <c r="E209" s="29" t="s">
        <v>89</v>
      </c>
      <c r="F209" s="29" t="s">
        <v>516</v>
      </c>
      <c r="G209" s="25" t="s">
        <v>45</v>
      </c>
      <c r="H209" s="25">
        <v>5</v>
      </c>
      <c r="I209" s="25">
        <f>ROUND(H209*测算依据!$B$6/测算依据!$B$7,0)</f>
        <v>4</v>
      </c>
      <c r="J209" s="25">
        <f t="shared" si="3"/>
        <v>31</v>
      </c>
      <c r="K209" s="25" t="s">
        <v>20</v>
      </c>
      <c r="L209" s="30" t="s">
        <v>21</v>
      </c>
      <c r="M209" s="27" t="s">
        <v>318</v>
      </c>
      <c r="N209" s="27" t="s">
        <v>459</v>
      </c>
    </row>
    <row r="210" s="18" customFormat="1" ht="18" customHeight="1" spans="1:14">
      <c r="A210" s="25">
        <v>261</v>
      </c>
      <c r="B210" s="25" t="s">
        <v>454</v>
      </c>
      <c r="C210" s="25" t="s">
        <v>507</v>
      </c>
      <c r="D210" s="25" t="s">
        <v>513</v>
      </c>
      <c r="E210" s="29" t="s">
        <v>89</v>
      </c>
      <c r="F210" s="29" t="s">
        <v>517</v>
      </c>
      <c r="G210" s="25" t="s">
        <v>45</v>
      </c>
      <c r="H210" s="25">
        <v>5</v>
      </c>
      <c r="I210" s="25">
        <f>ROUND(H210*测算依据!$B$6/测算依据!$B$7,0)</f>
        <v>4</v>
      </c>
      <c r="J210" s="25">
        <f t="shared" si="3"/>
        <v>31</v>
      </c>
      <c r="K210" s="25" t="s">
        <v>20</v>
      </c>
      <c r="L210" s="30" t="s">
        <v>21</v>
      </c>
      <c r="M210" s="27" t="s">
        <v>318</v>
      </c>
      <c r="N210" s="27" t="s">
        <v>459</v>
      </c>
    </row>
    <row r="211" s="18" customFormat="1" ht="18" customHeight="1" spans="1:14">
      <c r="A211" s="25">
        <v>262</v>
      </c>
      <c r="B211" s="25" t="s">
        <v>454</v>
      </c>
      <c r="C211" s="25" t="s">
        <v>507</v>
      </c>
      <c r="D211" s="25" t="s">
        <v>513</v>
      </c>
      <c r="E211" s="29" t="s">
        <v>104</v>
      </c>
      <c r="F211" s="29" t="s">
        <v>513</v>
      </c>
      <c r="G211" s="25" t="s">
        <v>31</v>
      </c>
      <c r="H211" s="25">
        <v>4</v>
      </c>
      <c r="I211" s="25">
        <f>ROUND(H211*测算依据!$B$6/测算依据!$B$7,0)</f>
        <v>3</v>
      </c>
      <c r="J211" s="25">
        <f t="shared" si="3"/>
        <v>31</v>
      </c>
      <c r="K211" s="25" t="s">
        <v>20</v>
      </c>
      <c r="L211" s="30" t="s">
        <v>21</v>
      </c>
      <c r="M211" s="27" t="s">
        <v>318</v>
      </c>
      <c r="N211" s="27" t="s">
        <v>459</v>
      </c>
    </row>
    <row r="212" s="18" customFormat="1" ht="18" customHeight="1" spans="1:14">
      <c r="A212" s="25">
        <v>263</v>
      </c>
      <c r="B212" s="25" t="s">
        <v>454</v>
      </c>
      <c r="C212" s="25" t="s">
        <v>518</v>
      </c>
      <c r="D212" s="25" t="s">
        <v>519</v>
      </c>
      <c r="E212" s="29" t="s">
        <v>89</v>
      </c>
      <c r="F212" s="29" t="s">
        <v>520</v>
      </c>
      <c r="G212" s="25" t="s">
        <v>45</v>
      </c>
      <c r="H212" s="25">
        <v>5</v>
      </c>
      <c r="I212" s="25">
        <f>ROUND(H212*测算依据!$B$6/测算依据!$B$7,0)</f>
        <v>4</v>
      </c>
      <c r="J212" s="25">
        <f t="shared" si="3"/>
        <v>12</v>
      </c>
      <c r="K212" s="25" t="s">
        <v>20</v>
      </c>
      <c r="L212" s="30" t="s">
        <v>21</v>
      </c>
      <c r="M212" s="27" t="s">
        <v>318</v>
      </c>
      <c r="N212" s="27" t="s">
        <v>459</v>
      </c>
    </row>
    <row r="213" s="18" customFormat="1" ht="18" customHeight="1" spans="1:14">
      <c r="A213" s="25">
        <v>264</v>
      </c>
      <c r="B213" s="25" t="s">
        <v>454</v>
      </c>
      <c r="C213" s="25" t="s">
        <v>518</v>
      </c>
      <c r="D213" s="25" t="s">
        <v>519</v>
      </c>
      <c r="E213" s="29" t="s">
        <v>89</v>
      </c>
      <c r="F213" s="29" t="s">
        <v>521</v>
      </c>
      <c r="G213" s="25" t="s">
        <v>45</v>
      </c>
      <c r="H213" s="25">
        <v>5</v>
      </c>
      <c r="I213" s="25">
        <f>ROUND(H213*测算依据!$B$6/测算依据!$B$7,0)</f>
        <v>4</v>
      </c>
      <c r="J213" s="25">
        <f t="shared" si="3"/>
        <v>12</v>
      </c>
      <c r="K213" s="25" t="s">
        <v>20</v>
      </c>
      <c r="L213" s="30" t="s">
        <v>21</v>
      </c>
      <c r="M213" s="27" t="s">
        <v>318</v>
      </c>
      <c r="N213" s="27" t="s">
        <v>459</v>
      </c>
    </row>
    <row r="214" s="18" customFormat="1" ht="18" customHeight="1" spans="1:14">
      <c r="A214" s="25">
        <v>265</v>
      </c>
      <c r="B214" s="25" t="s">
        <v>454</v>
      </c>
      <c r="C214" s="25" t="s">
        <v>518</v>
      </c>
      <c r="D214" s="25" t="s">
        <v>519</v>
      </c>
      <c r="E214" s="29" t="s">
        <v>89</v>
      </c>
      <c r="F214" s="29" t="s">
        <v>522</v>
      </c>
      <c r="G214" s="25" t="s">
        <v>45</v>
      </c>
      <c r="H214" s="25">
        <v>5</v>
      </c>
      <c r="I214" s="25">
        <f>ROUND(H214*测算依据!$B$6/测算依据!$B$7,0)</f>
        <v>4</v>
      </c>
      <c r="J214" s="25">
        <f t="shared" si="3"/>
        <v>12</v>
      </c>
      <c r="K214" s="25" t="s">
        <v>20</v>
      </c>
      <c r="L214" s="30" t="s">
        <v>21</v>
      </c>
      <c r="M214" s="27" t="s">
        <v>318</v>
      </c>
      <c r="N214" s="27" t="s">
        <v>459</v>
      </c>
    </row>
    <row r="215" s="18" customFormat="1" ht="18" customHeight="1" spans="1:14">
      <c r="A215" s="25">
        <v>153</v>
      </c>
      <c r="B215" s="25" t="s">
        <v>523</v>
      </c>
      <c r="C215" s="25" t="s">
        <v>524</v>
      </c>
      <c r="D215" s="25" t="s">
        <v>361</v>
      </c>
      <c r="E215" s="29" t="s">
        <v>89</v>
      </c>
      <c r="F215" s="29" t="s">
        <v>525</v>
      </c>
      <c r="G215" s="25" t="s">
        <v>45</v>
      </c>
      <c r="H215" s="25">
        <v>5</v>
      </c>
      <c r="I215" s="25">
        <f>ROUND(H215*测算依据!$B$6/测算依据!$B$7,0)</f>
        <v>4</v>
      </c>
      <c r="J215" s="25">
        <f t="shared" si="3"/>
        <v>39</v>
      </c>
      <c r="K215" s="25" t="s">
        <v>20</v>
      </c>
      <c r="L215" s="26" t="s">
        <v>21</v>
      </c>
      <c r="M215" s="27" t="s">
        <v>526</v>
      </c>
      <c r="N215" s="27" t="s">
        <v>527</v>
      </c>
    </row>
    <row r="216" s="18" customFormat="1" ht="18" customHeight="1" spans="1:14">
      <c r="A216" s="25">
        <v>154</v>
      </c>
      <c r="B216" s="25" t="s">
        <v>523</v>
      </c>
      <c r="C216" s="25" t="s">
        <v>524</v>
      </c>
      <c r="D216" s="25" t="s">
        <v>361</v>
      </c>
      <c r="E216" s="29" t="s">
        <v>89</v>
      </c>
      <c r="F216" s="29" t="s">
        <v>528</v>
      </c>
      <c r="G216" s="25" t="s">
        <v>45</v>
      </c>
      <c r="H216" s="25">
        <v>5</v>
      </c>
      <c r="I216" s="25">
        <f>ROUND(H216*测算依据!$B$6/测算依据!$B$7,0)</f>
        <v>4</v>
      </c>
      <c r="J216" s="25">
        <f t="shared" si="3"/>
        <v>39</v>
      </c>
      <c r="K216" s="25" t="s">
        <v>20</v>
      </c>
      <c r="L216" s="28" t="s">
        <v>39</v>
      </c>
      <c r="M216" s="27" t="s">
        <v>129</v>
      </c>
      <c r="N216" s="27" t="s">
        <v>529</v>
      </c>
    </row>
    <row r="217" s="18" customFormat="1" ht="18" customHeight="1" spans="1:14">
      <c r="A217" s="25">
        <v>155</v>
      </c>
      <c r="B217" s="25" t="s">
        <v>523</v>
      </c>
      <c r="C217" s="25" t="s">
        <v>524</v>
      </c>
      <c r="D217" s="25" t="s">
        <v>361</v>
      </c>
      <c r="E217" s="29" t="s">
        <v>89</v>
      </c>
      <c r="F217" s="29" t="s">
        <v>530</v>
      </c>
      <c r="G217" s="25" t="s">
        <v>45</v>
      </c>
      <c r="H217" s="25">
        <v>5</v>
      </c>
      <c r="I217" s="25">
        <f>ROUND(H217*测算依据!$B$6/测算依据!$B$7,0)</f>
        <v>4</v>
      </c>
      <c r="J217" s="25">
        <f t="shared" si="3"/>
        <v>39</v>
      </c>
      <c r="K217" s="25" t="s">
        <v>20</v>
      </c>
      <c r="L217" s="28" t="s">
        <v>39</v>
      </c>
      <c r="M217" s="27" t="s">
        <v>129</v>
      </c>
      <c r="N217" s="27" t="s">
        <v>529</v>
      </c>
    </row>
    <row r="218" s="18" customFormat="1" ht="18" customHeight="1" spans="1:14">
      <c r="A218" s="25">
        <v>156</v>
      </c>
      <c r="B218" s="25" t="s">
        <v>523</v>
      </c>
      <c r="C218" s="25" t="s">
        <v>524</v>
      </c>
      <c r="D218" s="25" t="s">
        <v>361</v>
      </c>
      <c r="E218" s="29" t="s">
        <v>89</v>
      </c>
      <c r="F218" s="29" t="s">
        <v>531</v>
      </c>
      <c r="G218" s="25" t="s">
        <v>45</v>
      </c>
      <c r="H218" s="25">
        <v>5</v>
      </c>
      <c r="I218" s="25">
        <f>ROUND(H218*测算依据!$B$6/测算依据!$B$7,0)</f>
        <v>4</v>
      </c>
      <c r="J218" s="25">
        <f t="shared" si="3"/>
        <v>39</v>
      </c>
      <c r="K218" s="25" t="s">
        <v>20</v>
      </c>
      <c r="L218" s="28" t="s">
        <v>39</v>
      </c>
      <c r="M218" s="27" t="s">
        <v>129</v>
      </c>
      <c r="N218" s="27" t="s">
        <v>529</v>
      </c>
    </row>
    <row r="219" s="18" customFormat="1" ht="18" customHeight="1" spans="1:14">
      <c r="A219" s="25">
        <v>157</v>
      </c>
      <c r="B219" s="25" t="s">
        <v>523</v>
      </c>
      <c r="C219" s="25" t="s">
        <v>524</v>
      </c>
      <c r="D219" s="25" t="s">
        <v>361</v>
      </c>
      <c r="E219" s="29" t="s">
        <v>89</v>
      </c>
      <c r="F219" s="29" t="s">
        <v>532</v>
      </c>
      <c r="G219" s="25" t="s">
        <v>45</v>
      </c>
      <c r="H219" s="25">
        <v>5</v>
      </c>
      <c r="I219" s="25">
        <f>ROUND(H219*测算依据!$B$6/测算依据!$B$7,0)</f>
        <v>4</v>
      </c>
      <c r="J219" s="25">
        <f t="shared" si="3"/>
        <v>39</v>
      </c>
      <c r="K219" s="25" t="s">
        <v>20</v>
      </c>
      <c r="L219" s="28" t="s">
        <v>39</v>
      </c>
      <c r="M219" s="27" t="s">
        <v>129</v>
      </c>
      <c r="N219" s="27" t="s">
        <v>529</v>
      </c>
    </row>
    <row r="220" s="18" customFormat="1" ht="18" customHeight="1" spans="1:14">
      <c r="A220" s="25">
        <v>158</v>
      </c>
      <c r="B220" s="25" t="s">
        <v>523</v>
      </c>
      <c r="C220" s="25" t="s">
        <v>524</v>
      </c>
      <c r="D220" s="25" t="s">
        <v>533</v>
      </c>
      <c r="E220" s="29" t="s">
        <v>89</v>
      </c>
      <c r="F220" s="29" t="s">
        <v>354</v>
      </c>
      <c r="G220" s="25" t="s">
        <v>45</v>
      </c>
      <c r="H220" s="25">
        <v>5</v>
      </c>
      <c r="I220" s="25">
        <f>ROUND(H220*测算依据!$B$6/测算依据!$B$7,0)</f>
        <v>4</v>
      </c>
      <c r="J220" s="25">
        <f t="shared" si="3"/>
        <v>39</v>
      </c>
      <c r="K220" s="25" t="s">
        <v>20</v>
      </c>
      <c r="L220" s="28" t="s">
        <v>39</v>
      </c>
      <c r="M220" s="27" t="s">
        <v>129</v>
      </c>
      <c r="N220" s="27" t="s">
        <v>534</v>
      </c>
    </row>
    <row r="221" s="18" customFormat="1" ht="18" customHeight="1" spans="1:14">
      <c r="A221" s="25">
        <v>159</v>
      </c>
      <c r="B221" s="25" t="s">
        <v>523</v>
      </c>
      <c r="C221" s="25" t="s">
        <v>524</v>
      </c>
      <c r="D221" s="25" t="s">
        <v>533</v>
      </c>
      <c r="E221" s="29" t="s">
        <v>89</v>
      </c>
      <c r="F221" s="29" t="s">
        <v>535</v>
      </c>
      <c r="G221" s="25" t="s">
        <v>45</v>
      </c>
      <c r="H221" s="25">
        <v>5</v>
      </c>
      <c r="I221" s="25">
        <f>ROUND(H221*测算依据!$B$6/测算依据!$B$7,0)</f>
        <v>4</v>
      </c>
      <c r="J221" s="25">
        <f t="shared" si="3"/>
        <v>39</v>
      </c>
      <c r="K221" s="25" t="s">
        <v>20</v>
      </c>
      <c r="L221" s="28" t="s">
        <v>39</v>
      </c>
      <c r="M221" s="27" t="s">
        <v>129</v>
      </c>
      <c r="N221" s="27" t="s">
        <v>534</v>
      </c>
    </row>
    <row r="222" s="18" customFormat="1" ht="18" customHeight="1" spans="1:14">
      <c r="A222" s="25">
        <v>160</v>
      </c>
      <c r="B222" s="25" t="s">
        <v>523</v>
      </c>
      <c r="C222" s="25" t="s">
        <v>524</v>
      </c>
      <c r="D222" s="25" t="s">
        <v>533</v>
      </c>
      <c r="E222" s="29" t="s">
        <v>89</v>
      </c>
      <c r="F222" s="29" t="s">
        <v>536</v>
      </c>
      <c r="G222" s="25" t="s">
        <v>45</v>
      </c>
      <c r="H222" s="25">
        <v>5</v>
      </c>
      <c r="I222" s="25">
        <f>ROUND(H222*测算依据!$B$6/测算依据!$B$7,0)</f>
        <v>4</v>
      </c>
      <c r="J222" s="25">
        <f t="shared" si="3"/>
        <v>39</v>
      </c>
      <c r="K222" s="25" t="s">
        <v>20</v>
      </c>
      <c r="L222" s="28" t="s">
        <v>39</v>
      </c>
      <c r="M222" s="27" t="s">
        <v>129</v>
      </c>
      <c r="N222" s="27" t="s">
        <v>534</v>
      </c>
    </row>
    <row r="223" s="18" customFormat="1" ht="18" customHeight="1" spans="1:14">
      <c r="A223" s="25">
        <v>161</v>
      </c>
      <c r="B223" s="25" t="s">
        <v>523</v>
      </c>
      <c r="C223" s="25" t="s">
        <v>524</v>
      </c>
      <c r="D223" s="25" t="s">
        <v>533</v>
      </c>
      <c r="E223" s="29" t="s">
        <v>89</v>
      </c>
      <c r="F223" s="29" t="s">
        <v>537</v>
      </c>
      <c r="G223" s="25" t="s">
        <v>45</v>
      </c>
      <c r="H223" s="25">
        <v>5</v>
      </c>
      <c r="I223" s="25">
        <f>ROUND(H223*测算依据!$B$6/测算依据!$B$7,0)</f>
        <v>4</v>
      </c>
      <c r="J223" s="25">
        <f t="shared" si="3"/>
        <v>39</v>
      </c>
      <c r="K223" s="25" t="s">
        <v>20</v>
      </c>
      <c r="L223" s="28" t="s">
        <v>39</v>
      </c>
      <c r="M223" s="27" t="s">
        <v>129</v>
      </c>
      <c r="N223" s="27" t="s">
        <v>534</v>
      </c>
    </row>
    <row r="224" s="18" customFormat="1" ht="18" customHeight="1" spans="1:14">
      <c r="A224" s="25">
        <v>162</v>
      </c>
      <c r="B224" s="25" t="s">
        <v>523</v>
      </c>
      <c r="C224" s="25" t="s">
        <v>524</v>
      </c>
      <c r="D224" s="25" t="s">
        <v>538</v>
      </c>
      <c r="E224" s="29" t="s">
        <v>17</v>
      </c>
      <c r="F224" s="29" t="s">
        <v>539</v>
      </c>
      <c r="G224" s="25" t="s">
        <v>19</v>
      </c>
      <c r="H224" s="25">
        <v>4</v>
      </c>
      <c r="I224" s="25">
        <f>ROUND(H224*测算依据!$B$6/测算依据!$B$7,0)</f>
        <v>3</v>
      </c>
      <c r="J224" s="25">
        <f t="shared" si="3"/>
        <v>39</v>
      </c>
      <c r="K224" s="25" t="s">
        <v>20</v>
      </c>
      <c r="L224" s="28" t="s">
        <v>39</v>
      </c>
      <c r="M224" s="27" t="s">
        <v>540</v>
      </c>
      <c r="N224" s="27" t="s">
        <v>541</v>
      </c>
    </row>
    <row r="225" s="18" customFormat="1" ht="18" customHeight="1" spans="1:14">
      <c r="A225" s="25">
        <v>163</v>
      </c>
      <c r="B225" s="25" t="s">
        <v>523</v>
      </c>
      <c r="C225" s="25" t="s">
        <v>542</v>
      </c>
      <c r="D225" s="25" t="s">
        <v>543</v>
      </c>
      <c r="E225" s="29" t="s">
        <v>89</v>
      </c>
      <c r="F225" s="29" t="s">
        <v>544</v>
      </c>
      <c r="G225" s="25" t="s">
        <v>19</v>
      </c>
      <c r="H225" s="25">
        <v>4</v>
      </c>
      <c r="I225" s="25">
        <f>ROUND(H225*测算依据!$B$6/测算依据!$B$7,0)</f>
        <v>3</v>
      </c>
      <c r="J225" s="25">
        <f t="shared" si="3"/>
        <v>15</v>
      </c>
      <c r="K225" s="25" t="s">
        <v>20</v>
      </c>
      <c r="L225" s="28" t="s">
        <v>39</v>
      </c>
      <c r="M225" s="27" t="s">
        <v>545</v>
      </c>
      <c r="N225" s="27" t="s">
        <v>546</v>
      </c>
    </row>
    <row r="226" s="18" customFormat="1" ht="18" customHeight="1" spans="1:14">
      <c r="A226" s="25">
        <v>164</v>
      </c>
      <c r="B226" s="25" t="s">
        <v>523</v>
      </c>
      <c r="C226" s="25" t="s">
        <v>542</v>
      </c>
      <c r="D226" s="25" t="s">
        <v>543</v>
      </c>
      <c r="E226" s="29" t="s">
        <v>89</v>
      </c>
      <c r="F226" s="29" t="s">
        <v>547</v>
      </c>
      <c r="G226" s="25" t="s">
        <v>19</v>
      </c>
      <c r="H226" s="25">
        <v>4</v>
      </c>
      <c r="I226" s="25">
        <f>ROUND(H226*测算依据!$B$6/测算依据!$B$7,0)</f>
        <v>3</v>
      </c>
      <c r="J226" s="25">
        <f t="shared" si="3"/>
        <v>15</v>
      </c>
      <c r="K226" s="25" t="s">
        <v>20</v>
      </c>
      <c r="L226" s="28" t="s">
        <v>39</v>
      </c>
      <c r="M226" s="27" t="s">
        <v>545</v>
      </c>
      <c r="N226" s="27" t="s">
        <v>548</v>
      </c>
    </row>
    <row r="227" s="18" customFormat="1" ht="18" customHeight="1" spans="1:14">
      <c r="A227" s="25">
        <v>165</v>
      </c>
      <c r="B227" s="25" t="s">
        <v>523</v>
      </c>
      <c r="C227" s="25" t="s">
        <v>542</v>
      </c>
      <c r="D227" s="25" t="s">
        <v>543</v>
      </c>
      <c r="E227" s="29" t="s">
        <v>89</v>
      </c>
      <c r="F227" s="29" t="s">
        <v>549</v>
      </c>
      <c r="G227" s="25" t="s">
        <v>19</v>
      </c>
      <c r="H227" s="25">
        <v>4</v>
      </c>
      <c r="I227" s="25">
        <f>ROUND(H227*测算依据!$B$6/测算依据!$B$7,0)</f>
        <v>3</v>
      </c>
      <c r="J227" s="25">
        <f t="shared" si="3"/>
        <v>15</v>
      </c>
      <c r="K227" s="25" t="s">
        <v>20</v>
      </c>
      <c r="L227" s="28" t="s">
        <v>39</v>
      </c>
      <c r="M227" s="27" t="s">
        <v>545</v>
      </c>
      <c r="N227" s="27" t="s">
        <v>550</v>
      </c>
    </row>
    <row r="228" s="18" customFormat="1" ht="18" customHeight="1" spans="1:14">
      <c r="A228" s="25">
        <v>166</v>
      </c>
      <c r="B228" s="25" t="s">
        <v>523</v>
      </c>
      <c r="C228" s="25" t="s">
        <v>542</v>
      </c>
      <c r="D228" s="25" t="s">
        <v>543</v>
      </c>
      <c r="E228" s="29" t="s">
        <v>89</v>
      </c>
      <c r="F228" s="29" t="s">
        <v>551</v>
      </c>
      <c r="G228" s="25" t="s">
        <v>19</v>
      </c>
      <c r="H228" s="25">
        <v>4</v>
      </c>
      <c r="I228" s="25">
        <f>ROUND(H228*测算依据!$B$6/测算依据!$B$7,0)</f>
        <v>3</v>
      </c>
      <c r="J228" s="25">
        <f t="shared" si="3"/>
        <v>15</v>
      </c>
      <c r="K228" s="25" t="s">
        <v>20</v>
      </c>
      <c r="L228" s="28" t="s">
        <v>39</v>
      </c>
      <c r="M228" s="27" t="s">
        <v>545</v>
      </c>
      <c r="N228" s="27" t="s">
        <v>552</v>
      </c>
    </row>
    <row r="229" s="18" customFormat="1" ht="18" customHeight="1" spans="1:14">
      <c r="A229" s="25">
        <v>167</v>
      </c>
      <c r="B229" s="25" t="s">
        <v>523</v>
      </c>
      <c r="C229" s="25" t="s">
        <v>542</v>
      </c>
      <c r="D229" s="25" t="s">
        <v>553</v>
      </c>
      <c r="E229" s="29" t="s">
        <v>17</v>
      </c>
      <c r="F229" s="29" t="s">
        <v>554</v>
      </c>
      <c r="G229" s="25" t="s">
        <v>19</v>
      </c>
      <c r="H229" s="25">
        <v>4</v>
      </c>
      <c r="I229" s="25">
        <f>ROUND(H229*测算依据!$B$6/测算依据!$B$7,0)</f>
        <v>3</v>
      </c>
      <c r="J229" s="25">
        <f t="shared" si="3"/>
        <v>15</v>
      </c>
      <c r="K229" s="25" t="s">
        <v>20</v>
      </c>
      <c r="L229" s="28" t="s">
        <v>39</v>
      </c>
      <c r="M229" s="27" t="s">
        <v>545</v>
      </c>
      <c r="N229" s="27" t="s">
        <v>555</v>
      </c>
    </row>
    <row r="230" s="18" customFormat="1" ht="18" customHeight="1" spans="1:14">
      <c r="A230" s="25">
        <v>174</v>
      </c>
      <c r="B230" s="25" t="s">
        <v>523</v>
      </c>
      <c r="C230" s="25" t="s">
        <v>556</v>
      </c>
      <c r="D230" s="25" t="s">
        <v>557</v>
      </c>
      <c r="E230" s="29" t="s">
        <v>89</v>
      </c>
      <c r="F230" s="29" t="s">
        <v>558</v>
      </c>
      <c r="G230" s="25" t="s">
        <v>19</v>
      </c>
      <c r="H230" s="25">
        <v>4</v>
      </c>
      <c r="I230" s="25">
        <f>ROUND(H230*测算依据!$B$6/测算依据!$B$7,0)</f>
        <v>3</v>
      </c>
      <c r="J230" s="25">
        <f t="shared" si="3"/>
        <v>15</v>
      </c>
      <c r="K230" s="25" t="s">
        <v>20</v>
      </c>
      <c r="L230" s="28" t="s">
        <v>39</v>
      </c>
      <c r="M230" s="27" t="s">
        <v>132</v>
      </c>
      <c r="N230" s="27" t="s">
        <v>559</v>
      </c>
    </row>
    <row r="231" s="18" customFormat="1" ht="18" customHeight="1" spans="1:14">
      <c r="A231" s="25">
        <v>175</v>
      </c>
      <c r="B231" s="25" t="s">
        <v>523</v>
      </c>
      <c r="C231" s="25" t="s">
        <v>556</v>
      </c>
      <c r="D231" s="25" t="s">
        <v>557</v>
      </c>
      <c r="E231" s="29" t="s">
        <v>89</v>
      </c>
      <c r="F231" s="29" t="s">
        <v>560</v>
      </c>
      <c r="G231" s="25" t="s">
        <v>19</v>
      </c>
      <c r="H231" s="25">
        <v>4</v>
      </c>
      <c r="I231" s="25">
        <f>ROUND(H231*测算依据!$B$6/测算依据!$B$7,0)</f>
        <v>3</v>
      </c>
      <c r="J231" s="25">
        <f t="shared" si="3"/>
        <v>15</v>
      </c>
      <c r="K231" s="25" t="s">
        <v>20</v>
      </c>
      <c r="L231" s="28" t="s">
        <v>39</v>
      </c>
      <c r="M231" s="27" t="s">
        <v>132</v>
      </c>
      <c r="N231" s="27" t="s">
        <v>561</v>
      </c>
    </row>
    <row r="232" s="18" customFormat="1" ht="18" customHeight="1" spans="1:14">
      <c r="A232" s="25">
        <v>176</v>
      </c>
      <c r="B232" s="25" t="s">
        <v>523</v>
      </c>
      <c r="C232" s="25" t="s">
        <v>556</v>
      </c>
      <c r="D232" s="25" t="s">
        <v>557</v>
      </c>
      <c r="E232" s="29" t="s">
        <v>89</v>
      </c>
      <c r="F232" s="29" t="s">
        <v>562</v>
      </c>
      <c r="G232" s="25" t="s">
        <v>19</v>
      </c>
      <c r="H232" s="25">
        <v>4</v>
      </c>
      <c r="I232" s="25">
        <f>ROUND(H232*测算依据!$B$6/测算依据!$B$7,0)</f>
        <v>3</v>
      </c>
      <c r="J232" s="25">
        <f t="shared" si="3"/>
        <v>15</v>
      </c>
      <c r="K232" s="25" t="s">
        <v>20</v>
      </c>
      <c r="L232" s="28" t="s">
        <v>39</v>
      </c>
      <c r="M232" s="27" t="s">
        <v>132</v>
      </c>
      <c r="N232" s="27" t="s">
        <v>563</v>
      </c>
    </row>
    <row r="233" s="18" customFormat="1" ht="18" customHeight="1" spans="1:14">
      <c r="A233" s="25">
        <v>177</v>
      </c>
      <c r="B233" s="25" t="s">
        <v>523</v>
      </c>
      <c r="C233" s="25" t="s">
        <v>556</v>
      </c>
      <c r="D233" s="25" t="s">
        <v>557</v>
      </c>
      <c r="E233" s="29" t="s">
        <v>89</v>
      </c>
      <c r="F233" s="29" t="s">
        <v>564</v>
      </c>
      <c r="G233" s="25" t="s">
        <v>19</v>
      </c>
      <c r="H233" s="25">
        <v>4</v>
      </c>
      <c r="I233" s="25">
        <f>ROUND(H233*测算依据!$B$6/测算依据!$B$7,0)</f>
        <v>3</v>
      </c>
      <c r="J233" s="25">
        <f t="shared" si="3"/>
        <v>15</v>
      </c>
      <c r="K233" s="25" t="s">
        <v>20</v>
      </c>
      <c r="L233" s="26" t="s">
        <v>21</v>
      </c>
      <c r="M233" s="27" t="s">
        <v>132</v>
      </c>
      <c r="N233" s="27" t="s">
        <v>565</v>
      </c>
    </row>
    <row r="234" s="18" customFormat="1" ht="18" customHeight="1" spans="1:14">
      <c r="A234" s="25">
        <v>178</v>
      </c>
      <c r="B234" s="25" t="s">
        <v>523</v>
      </c>
      <c r="C234" s="25" t="s">
        <v>556</v>
      </c>
      <c r="D234" s="25" t="s">
        <v>566</v>
      </c>
      <c r="E234" s="29" t="s">
        <v>17</v>
      </c>
      <c r="F234" s="29" t="s">
        <v>567</v>
      </c>
      <c r="G234" s="25" t="s">
        <v>19</v>
      </c>
      <c r="H234" s="25">
        <v>4</v>
      </c>
      <c r="I234" s="25">
        <f>ROUND(H234*测算依据!$B$6/测算依据!$B$7,0)</f>
        <v>3</v>
      </c>
      <c r="J234" s="25">
        <f t="shared" si="3"/>
        <v>15</v>
      </c>
      <c r="K234" s="25" t="s">
        <v>20</v>
      </c>
      <c r="L234" s="26" t="s">
        <v>21</v>
      </c>
      <c r="M234" s="27" t="s">
        <v>132</v>
      </c>
      <c r="N234" s="27" t="s">
        <v>568</v>
      </c>
    </row>
    <row r="235" s="18" customFormat="1" ht="18" customHeight="1" spans="1:14">
      <c r="A235" s="25">
        <v>179</v>
      </c>
      <c r="B235" s="25" t="s">
        <v>523</v>
      </c>
      <c r="C235" s="25" t="s">
        <v>569</v>
      </c>
      <c r="D235" s="25" t="s">
        <v>570</v>
      </c>
      <c r="E235" s="29" t="s">
        <v>152</v>
      </c>
      <c r="F235" s="29" t="s">
        <v>571</v>
      </c>
      <c r="G235" s="25" t="s">
        <v>19</v>
      </c>
      <c r="H235" s="25">
        <v>4</v>
      </c>
      <c r="I235" s="25">
        <f>ROUND(H235*测算依据!$B$6/测算依据!$B$7,0)</f>
        <v>3</v>
      </c>
      <c r="J235" s="25">
        <f t="shared" si="3"/>
        <v>9</v>
      </c>
      <c r="K235" s="25" t="s">
        <v>20</v>
      </c>
      <c r="L235" s="28" t="s">
        <v>39</v>
      </c>
      <c r="M235" s="27" t="s">
        <v>132</v>
      </c>
      <c r="N235" s="27" t="s">
        <v>572</v>
      </c>
    </row>
    <row r="236" s="18" customFormat="1" ht="18" customHeight="1" spans="1:14">
      <c r="A236" s="25">
        <v>180</v>
      </c>
      <c r="B236" s="25" t="s">
        <v>523</v>
      </c>
      <c r="C236" s="25" t="s">
        <v>569</v>
      </c>
      <c r="D236" s="25" t="s">
        <v>570</v>
      </c>
      <c r="E236" s="29" t="s">
        <v>152</v>
      </c>
      <c r="F236" s="29" t="s">
        <v>573</v>
      </c>
      <c r="G236" s="25" t="s">
        <v>19</v>
      </c>
      <c r="H236" s="25">
        <v>4</v>
      </c>
      <c r="I236" s="25">
        <f>ROUND(H236*测算依据!$B$6/测算依据!$B$7,0)</f>
        <v>3</v>
      </c>
      <c r="J236" s="25">
        <f t="shared" si="3"/>
        <v>9</v>
      </c>
      <c r="K236" s="25" t="s">
        <v>20</v>
      </c>
      <c r="L236" s="28" t="s">
        <v>39</v>
      </c>
      <c r="M236" s="27" t="s">
        <v>132</v>
      </c>
      <c r="N236" s="27" t="s">
        <v>572</v>
      </c>
    </row>
    <row r="237" s="18" customFormat="1" ht="18" customHeight="1" spans="1:14">
      <c r="A237" s="25">
        <v>181</v>
      </c>
      <c r="B237" s="25" t="s">
        <v>523</v>
      </c>
      <c r="C237" s="25" t="s">
        <v>569</v>
      </c>
      <c r="D237" s="25" t="s">
        <v>570</v>
      </c>
      <c r="E237" s="29" t="s">
        <v>152</v>
      </c>
      <c r="F237" s="29" t="s">
        <v>574</v>
      </c>
      <c r="G237" s="25" t="s">
        <v>19</v>
      </c>
      <c r="H237" s="25">
        <v>4</v>
      </c>
      <c r="I237" s="25">
        <f>ROUND(H237*测算依据!$B$6/测算依据!$B$7,0)</f>
        <v>3</v>
      </c>
      <c r="J237" s="25">
        <f t="shared" si="3"/>
        <v>9</v>
      </c>
      <c r="K237" s="25" t="s">
        <v>20</v>
      </c>
      <c r="L237" s="28" t="s">
        <v>39</v>
      </c>
      <c r="M237" s="27" t="s">
        <v>132</v>
      </c>
      <c r="N237" s="27" t="s">
        <v>572</v>
      </c>
    </row>
    <row r="238" s="18" customFormat="1" ht="18" customHeight="1" spans="1:14">
      <c r="A238" s="25">
        <v>182</v>
      </c>
      <c r="B238" s="25" t="s">
        <v>523</v>
      </c>
      <c r="C238" s="25" t="s">
        <v>575</v>
      </c>
      <c r="D238" s="25" t="s">
        <v>576</v>
      </c>
      <c r="E238" s="29" t="s">
        <v>89</v>
      </c>
      <c r="F238" s="29" t="s">
        <v>577</v>
      </c>
      <c r="G238" s="25" t="s">
        <v>45</v>
      </c>
      <c r="H238" s="25">
        <v>5</v>
      </c>
      <c r="I238" s="25">
        <f>ROUND(H238*测算依据!$B$6/测算依据!$B$7,0)</f>
        <v>4</v>
      </c>
      <c r="J238" s="25">
        <f t="shared" si="3"/>
        <v>21</v>
      </c>
      <c r="K238" s="25" t="s">
        <v>20</v>
      </c>
      <c r="L238" s="26" t="s">
        <v>21</v>
      </c>
      <c r="M238" s="27" t="s">
        <v>578</v>
      </c>
      <c r="N238" s="27" t="s">
        <v>579</v>
      </c>
    </row>
    <row r="239" s="18" customFormat="1" ht="18" customHeight="1" spans="1:14">
      <c r="A239" s="25">
        <v>183</v>
      </c>
      <c r="B239" s="25" t="s">
        <v>523</v>
      </c>
      <c r="C239" s="25" t="s">
        <v>575</v>
      </c>
      <c r="D239" s="25" t="s">
        <v>576</v>
      </c>
      <c r="E239" s="29" t="s">
        <v>89</v>
      </c>
      <c r="F239" s="29" t="s">
        <v>580</v>
      </c>
      <c r="G239" s="25" t="s">
        <v>45</v>
      </c>
      <c r="H239" s="25">
        <v>5</v>
      </c>
      <c r="I239" s="25">
        <f>ROUND(H239*测算依据!$B$6/测算依据!$B$7,0)</f>
        <v>4</v>
      </c>
      <c r="J239" s="25">
        <f t="shared" si="3"/>
        <v>21</v>
      </c>
      <c r="K239" s="25" t="s">
        <v>20</v>
      </c>
      <c r="L239" s="26" t="s">
        <v>21</v>
      </c>
      <c r="M239" s="27" t="s">
        <v>578</v>
      </c>
      <c r="N239" s="27" t="s">
        <v>581</v>
      </c>
    </row>
    <row r="240" s="18" customFormat="1" ht="18" customHeight="1" spans="1:14">
      <c r="A240" s="25">
        <v>184</v>
      </c>
      <c r="B240" s="25" t="s">
        <v>523</v>
      </c>
      <c r="C240" s="25" t="s">
        <v>575</v>
      </c>
      <c r="D240" s="25" t="s">
        <v>576</v>
      </c>
      <c r="E240" s="29" t="s">
        <v>89</v>
      </c>
      <c r="F240" s="29" t="s">
        <v>582</v>
      </c>
      <c r="G240" s="25" t="s">
        <v>45</v>
      </c>
      <c r="H240" s="25">
        <v>5</v>
      </c>
      <c r="I240" s="25">
        <f>ROUND(H240*测算依据!$B$6/测算依据!$B$7,0)</f>
        <v>4</v>
      </c>
      <c r="J240" s="25">
        <f t="shared" si="3"/>
        <v>21</v>
      </c>
      <c r="K240" s="25" t="s">
        <v>20</v>
      </c>
      <c r="L240" s="26" t="s">
        <v>21</v>
      </c>
      <c r="M240" s="27" t="s">
        <v>578</v>
      </c>
      <c r="N240" s="27" t="s">
        <v>583</v>
      </c>
    </row>
    <row r="241" s="18" customFormat="1" ht="18" customHeight="1" spans="1:14">
      <c r="A241" s="25">
        <v>185</v>
      </c>
      <c r="B241" s="25" t="s">
        <v>523</v>
      </c>
      <c r="C241" s="25" t="s">
        <v>575</v>
      </c>
      <c r="D241" s="25" t="s">
        <v>584</v>
      </c>
      <c r="E241" s="29" t="s">
        <v>89</v>
      </c>
      <c r="F241" s="29" t="s">
        <v>585</v>
      </c>
      <c r="G241" s="25" t="s">
        <v>19</v>
      </c>
      <c r="H241" s="25">
        <v>4</v>
      </c>
      <c r="I241" s="25">
        <f>ROUND(H241*测算依据!$B$6/测算依据!$B$7,0)</f>
        <v>3</v>
      </c>
      <c r="J241" s="25">
        <f t="shared" si="3"/>
        <v>21</v>
      </c>
      <c r="K241" s="25" t="s">
        <v>20</v>
      </c>
      <c r="L241" s="26" t="s">
        <v>21</v>
      </c>
      <c r="M241" s="27" t="s">
        <v>578</v>
      </c>
      <c r="N241" s="27" t="s">
        <v>586</v>
      </c>
    </row>
    <row r="242" s="18" customFormat="1" ht="18" customHeight="1" spans="1:14">
      <c r="A242" s="25">
        <v>186</v>
      </c>
      <c r="B242" s="25" t="s">
        <v>523</v>
      </c>
      <c r="C242" s="25" t="s">
        <v>575</v>
      </c>
      <c r="D242" s="25" t="s">
        <v>584</v>
      </c>
      <c r="E242" s="29" t="s">
        <v>587</v>
      </c>
      <c r="F242" s="29" t="s">
        <v>588</v>
      </c>
      <c r="G242" s="25" t="s">
        <v>19</v>
      </c>
      <c r="H242" s="25">
        <v>4</v>
      </c>
      <c r="I242" s="25">
        <f>ROUND(H242*测算依据!$B$6/测算依据!$B$7,0)</f>
        <v>3</v>
      </c>
      <c r="J242" s="25">
        <f t="shared" si="3"/>
        <v>21</v>
      </c>
      <c r="K242" s="25" t="s">
        <v>20</v>
      </c>
      <c r="L242" s="28" t="s">
        <v>39</v>
      </c>
      <c r="M242" s="27" t="s">
        <v>578</v>
      </c>
      <c r="N242" s="27" t="s">
        <v>589</v>
      </c>
    </row>
    <row r="243" s="18" customFormat="1" ht="18" customHeight="1" spans="1:14">
      <c r="A243" s="25">
        <v>187</v>
      </c>
      <c r="B243" s="25" t="s">
        <v>523</v>
      </c>
      <c r="C243" s="25" t="s">
        <v>575</v>
      </c>
      <c r="D243" s="25" t="s">
        <v>584</v>
      </c>
      <c r="E243" s="29" t="s">
        <v>89</v>
      </c>
      <c r="F243" s="29" t="s">
        <v>314</v>
      </c>
      <c r="G243" s="25" t="s">
        <v>19</v>
      </c>
      <c r="H243" s="25">
        <v>4</v>
      </c>
      <c r="I243" s="25">
        <f>ROUND(H243*测算依据!$B$6/测算依据!$B$7,0)</f>
        <v>3</v>
      </c>
      <c r="J243" s="25">
        <f t="shared" si="3"/>
        <v>21</v>
      </c>
      <c r="K243" s="25" t="s">
        <v>20</v>
      </c>
      <c r="L243" s="26" t="s">
        <v>21</v>
      </c>
      <c r="M243" s="27" t="s">
        <v>578</v>
      </c>
      <c r="N243" s="27" t="s">
        <v>590</v>
      </c>
    </row>
    <row r="244" s="18" customFormat="1" ht="18" customHeight="1" spans="1:14">
      <c r="A244" s="25">
        <v>188</v>
      </c>
      <c r="B244" s="25" t="s">
        <v>523</v>
      </c>
      <c r="C244" s="25" t="s">
        <v>591</v>
      </c>
      <c r="D244" s="25" t="s">
        <v>592</v>
      </c>
      <c r="E244" s="29" t="s">
        <v>593</v>
      </c>
      <c r="F244" s="29" t="s">
        <v>594</v>
      </c>
      <c r="G244" s="25" t="s">
        <v>19</v>
      </c>
      <c r="H244" s="25">
        <v>4</v>
      </c>
      <c r="I244" s="25">
        <f>ROUND(H244*测算依据!$B$6/测算依据!$B$7,0)</f>
        <v>3</v>
      </c>
      <c r="J244" s="25">
        <f t="shared" si="3"/>
        <v>12</v>
      </c>
      <c r="K244" s="25" t="s">
        <v>20</v>
      </c>
      <c r="L244" s="26" t="s">
        <v>21</v>
      </c>
      <c r="M244" s="27" t="s">
        <v>578</v>
      </c>
      <c r="N244" s="27" t="s">
        <v>595</v>
      </c>
    </row>
    <row r="245" s="18" customFormat="1" ht="18" customHeight="1" spans="1:14">
      <c r="A245" s="25">
        <v>189</v>
      </c>
      <c r="B245" s="25" t="s">
        <v>523</v>
      </c>
      <c r="C245" s="25" t="s">
        <v>591</v>
      </c>
      <c r="D245" s="25" t="s">
        <v>596</v>
      </c>
      <c r="E245" s="29" t="s">
        <v>593</v>
      </c>
      <c r="F245" s="29" t="s">
        <v>597</v>
      </c>
      <c r="G245" s="25" t="s">
        <v>19</v>
      </c>
      <c r="H245" s="25">
        <v>4</v>
      </c>
      <c r="I245" s="25">
        <f>ROUND(H245*测算依据!$B$6/测算依据!$B$7,0)</f>
        <v>3</v>
      </c>
      <c r="J245" s="25">
        <f t="shared" si="3"/>
        <v>12</v>
      </c>
      <c r="K245" s="25" t="s">
        <v>20</v>
      </c>
      <c r="L245" s="26" t="s">
        <v>21</v>
      </c>
      <c r="M245" s="27" t="s">
        <v>578</v>
      </c>
      <c r="N245" s="27" t="s">
        <v>598</v>
      </c>
    </row>
    <row r="246" s="18" customFormat="1" ht="18" customHeight="1" spans="1:14">
      <c r="A246" s="25">
        <v>190</v>
      </c>
      <c r="B246" s="25" t="s">
        <v>523</v>
      </c>
      <c r="C246" s="25" t="s">
        <v>591</v>
      </c>
      <c r="D246" s="25" t="s">
        <v>599</v>
      </c>
      <c r="E246" s="29" t="s">
        <v>593</v>
      </c>
      <c r="F246" s="29" t="s">
        <v>600</v>
      </c>
      <c r="G246" s="25" t="s">
        <v>19</v>
      </c>
      <c r="H246" s="25">
        <v>4</v>
      </c>
      <c r="I246" s="25">
        <f>ROUND(H246*测算依据!$B$6/测算依据!$B$7,0)</f>
        <v>3</v>
      </c>
      <c r="J246" s="25">
        <f t="shared" ref="J246:J276" si="4">SUMIFS($I$2:$I$273,$B$2:$B$273,B246,$C$2:$C$273,C246)</f>
        <v>12</v>
      </c>
      <c r="K246" s="25" t="s">
        <v>20</v>
      </c>
      <c r="L246" s="26" t="s">
        <v>21</v>
      </c>
      <c r="M246" s="27" t="s">
        <v>578</v>
      </c>
      <c r="N246" s="27" t="s">
        <v>601</v>
      </c>
    </row>
    <row r="247" s="18" customFormat="1" ht="18" customHeight="1" spans="1:14">
      <c r="A247" s="25">
        <v>191</v>
      </c>
      <c r="B247" s="25" t="s">
        <v>523</v>
      </c>
      <c r="C247" s="25" t="s">
        <v>591</v>
      </c>
      <c r="D247" s="25" t="s">
        <v>602</v>
      </c>
      <c r="E247" s="29" t="s">
        <v>593</v>
      </c>
      <c r="F247" s="29" t="s">
        <v>603</v>
      </c>
      <c r="G247" s="25" t="s">
        <v>19</v>
      </c>
      <c r="H247" s="25">
        <v>4</v>
      </c>
      <c r="I247" s="25">
        <f>ROUND(H247*测算依据!$B$6/测算依据!$B$7,0)</f>
        <v>3</v>
      </c>
      <c r="J247" s="25">
        <f t="shared" si="4"/>
        <v>12</v>
      </c>
      <c r="K247" s="25" t="s">
        <v>20</v>
      </c>
      <c r="L247" s="26" t="s">
        <v>21</v>
      </c>
      <c r="M247" s="27" t="s">
        <v>578</v>
      </c>
      <c r="N247" s="27" t="s">
        <v>604</v>
      </c>
    </row>
    <row r="248" s="18" customFormat="1" ht="18" customHeight="1" spans="1:14">
      <c r="A248" s="25">
        <v>192</v>
      </c>
      <c r="B248" s="25" t="s">
        <v>523</v>
      </c>
      <c r="C248" s="25" t="s">
        <v>605</v>
      </c>
      <c r="D248" s="25" t="s">
        <v>606</v>
      </c>
      <c r="E248" s="29" t="s">
        <v>89</v>
      </c>
      <c r="F248" s="29" t="s">
        <v>607</v>
      </c>
      <c r="G248" s="25" t="s">
        <v>45</v>
      </c>
      <c r="H248" s="25">
        <v>5</v>
      </c>
      <c r="I248" s="25">
        <f>ROUND(H248*测算依据!$B$6/测算依据!$B$7,0)</f>
        <v>4</v>
      </c>
      <c r="J248" s="25">
        <f t="shared" si="4"/>
        <v>36</v>
      </c>
      <c r="K248" s="25" t="s">
        <v>20</v>
      </c>
      <c r="L248" s="26" t="s">
        <v>21</v>
      </c>
      <c r="M248" s="27" t="s">
        <v>608</v>
      </c>
      <c r="N248" s="27" t="s">
        <v>609</v>
      </c>
    </row>
    <row r="249" s="18" customFormat="1" ht="18" customHeight="1" spans="1:14">
      <c r="A249" s="25">
        <v>193</v>
      </c>
      <c r="B249" s="25" t="s">
        <v>523</v>
      </c>
      <c r="C249" s="25" t="s">
        <v>605</v>
      </c>
      <c r="D249" s="25" t="s">
        <v>606</v>
      </c>
      <c r="E249" s="29" t="s">
        <v>89</v>
      </c>
      <c r="F249" s="29" t="s">
        <v>610</v>
      </c>
      <c r="G249" s="25" t="s">
        <v>45</v>
      </c>
      <c r="H249" s="25">
        <v>5</v>
      </c>
      <c r="I249" s="25">
        <f>ROUND(H249*测算依据!$B$6/测算依据!$B$7,0)</f>
        <v>4</v>
      </c>
      <c r="J249" s="25">
        <f t="shared" si="4"/>
        <v>36</v>
      </c>
      <c r="K249" s="25" t="s">
        <v>20</v>
      </c>
      <c r="L249" s="26" t="s">
        <v>21</v>
      </c>
      <c r="M249" s="27" t="s">
        <v>608</v>
      </c>
      <c r="N249" s="27" t="s">
        <v>609</v>
      </c>
    </row>
    <row r="250" s="18" customFormat="1" ht="18" customHeight="1" spans="1:14">
      <c r="A250" s="25">
        <v>194</v>
      </c>
      <c r="B250" s="25" t="s">
        <v>523</v>
      </c>
      <c r="C250" s="25" t="s">
        <v>605</v>
      </c>
      <c r="D250" s="25" t="s">
        <v>606</v>
      </c>
      <c r="E250" s="29" t="s">
        <v>89</v>
      </c>
      <c r="F250" s="29" t="s">
        <v>611</v>
      </c>
      <c r="G250" s="25" t="s">
        <v>45</v>
      </c>
      <c r="H250" s="25">
        <v>5</v>
      </c>
      <c r="I250" s="25">
        <f>ROUND(H250*测算依据!$B$6/测算依据!$B$7,0)</f>
        <v>4</v>
      </c>
      <c r="J250" s="25">
        <f t="shared" si="4"/>
        <v>36</v>
      </c>
      <c r="K250" s="25" t="s">
        <v>20</v>
      </c>
      <c r="L250" s="26" t="s">
        <v>21</v>
      </c>
      <c r="M250" s="27" t="s">
        <v>608</v>
      </c>
      <c r="N250" s="27" t="s">
        <v>609</v>
      </c>
    </row>
    <row r="251" s="18" customFormat="1" ht="18" customHeight="1" spans="1:14">
      <c r="A251" s="25">
        <v>195</v>
      </c>
      <c r="B251" s="25" t="s">
        <v>523</v>
      </c>
      <c r="C251" s="25" t="s">
        <v>605</v>
      </c>
      <c r="D251" s="25" t="s">
        <v>612</v>
      </c>
      <c r="E251" s="29" t="s">
        <v>25</v>
      </c>
      <c r="F251" s="29" t="s">
        <v>613</v>
      </c>
      <c r="G251" s="25" t="s">
        <v>19</v>
      </c>
      <c r="H251" s="25">
        <v>4</v>
      </c>
      <c r="I251" s="25">
        <f>ROUND(H251*测算依据!$B$6/测算依据!$B$7,0)</f>
        <v>3</v>
      </c>
      <c r="J251" s="25">
        <f t="shared" si="4"/>
        <v>36</v>
      </c>
      <c r="K251" s="25" t="s">
        <v>20</v>
      </c>
      <c r="L251" s="26" t="s">
        <v>21</v>
      </c>
      <c r="M251" s="27" t="s">
        <v>608</v>
      </c>
      <c r="N251" s="27" t="s">
        <v>614</v>
      </c>
    </row>
    <row r="252" s="18" customFormat="1" ht="18" customHeight="1" spans="1:14">
      <c r="A252" s="25">
        <v>196</v>
      </c>
      <c r="B252" s="25" t="s">
        <v>523</v>
      </c>
      <c r="C252" s="25" t="s">
        <v>605</v>
      </c>
      <c r="D252" s="25" t="s">
        <v>612</v>
      </c>
      <c r="E252" s="29" t="s">
        <v>25</v>
      </c>
      <c r="F252" s="29" t="s">
        <v>615</v>
      </c>
      <c r="G252" s="25" t="s">
        <v>19</v>
      </c>
      <c r="H252" s="25">
        <v>4</v>
      </c>
      <c r="I252" s="25">
        <f>ROUND(H252*测算依据!$B$6/测算依据!$B$7,0)</f>
        <v>3</v>
      </c>
      <c r="J252" s="25">
        <f t="shared" si="4"/>
        <v>36</v>
      </c>
      <c r="K252" s="25" t="s">
        <v>20</v>
      </c>
      <c r="L252" s="26" t="s">
        <v>21</v>
      </c>
      <c r="M252" s="27" t="s">
        <v>608</v>
      </c>
      <c r="N252" s="27" t="s">
        <v>616</v>
      </c>
    </row>
    <row r="253" s="18" customFormat="1" ht="18" customHeight="1" spans="1:14">
      <c r="A253" s="25">
        <v>197</v>
      </c>
      <c r="B253" s="25" t="s">
        <v>523</v>
      </c>
      <c r="C253" s="25" t="s">
        <v>605</v>
      </c>
      <c r="D253" s="25" t="s">
        <v>612</v>
      </c>
      <c r="E253" s="29" t="s">
        <v>25</v>
      </c>
      <c r="F253" s="29" t="s">
        <v>617</v>
      </c>
      <c r="G253" s="25" t="s">
        <v>19</v>
      </c>
      <c r="H253" s="25">
        <v>4</v>
      </c>
      <c r="I253" s="25">
        <f>ROUND(H253*测算依据!$B$6/测算依据!$B$7,0)</f>
        <v>3</v>
      </c>
      <c r="J253" s="25">
        <f t="shared" si="4"/>
        <v>36</v>
      </c>
      <c r="K253" s="25" t="s">
        <v>20</v>
      </c>
      <c r="L253" s="26" t="s">
        <v>21</v>
      </c>
      <c r="M253" s="27" t="s">
        <v>608</v>
      </c>
      <c r="N253" s="27" t="s">
        <v>618</v>
      </c>
    </row>
    <row r="254" s="18" customFormat="1" ht="18" customHeight="1" spans="1:14">
      <c r="A254" s="25">
        <v>198</v>
      </c>
      <c r="B254" s="25" t="s">
        <v>523</v>
      </c>
      <c r="C254" s="25" t="s">
        <v>605</v>
      </c>
      <c r="D254" s="25" t="s">
        <v>612</v>
      </c>
      <c r="E254" s="29" t="s">
        <v>25</v>
      </c>
      <c r="F254" s="29" t="s">
        <v>619</v>
      </c>
      <c r="G254" s="25" t="s">
        <v>19</v>
      </c>
      <c r="H254" s="25">
        <v>4</v>
      </c>
      <c r="I254" s="25">
        <f>ROUND(H254*测算依据!$B$6/测算依据!$B$7,0)</f>
        <v>3</v>
      </c>
      <c r="J254" s="25">
        <f t="shared" si="4"/>
        <v>36</v>
      </c>
      <c r="K254" s="25" t="s">
        <v>20</v>
      </c>
      <c r="L254" s="26" t="s">
        <v>21</v>
      </c>
      <c r="M254" s="27" t="s">
        <v>608</v>
      </c>
      <c r="N254" s="27" t="s">
        <v>620</v>
      </c>
    </row>
    <row r="255" s="18" customFormat="1" ht="18" customHeight="1" spans="1:14">
      <c r="A255" s="25">
        <v>199</v>
      </c>
      <c r="B255" s="25" t="s">
        <v>523</v>
      </c>
      <c r="C255" s="25" t="s">
        <v>605</v>
      </c>
      <c r="D255" s="25" t="s">
        <v>612</v>
      </c>
      <c r="E255" s="29" t="s">
        <v>25</v>
      </c>
      <c r="F255" s="29" t="s">
        <v>621</v>
      </c>
      <c r="G255" s="25" t="s">
        <v>19</v>
      </c>
      <c r="H255" s="25">
        <v>4</v>
      </c>
      <c r="I255" s="25">
        <f>ROUND(H255*测算依据!$B$6/测算依据!$B$7,0)</f>
        <v>3</v>
      </c>
      <c r="J255" s="25">
        <f t="shared" si="4"/>
        <v>36</v>
      </c>
      <c r="K255" s="25" t="s">
        <v>20</v>
      </c>
      <c r="L255" s="26" t="s">
        <v>21</v>
      </c>
      <c r="M255" s="27" t="s">
        <v>608</v>
      </c>
      <c r="N255" s="27" t="s">
        <v>622</v>
      </c>
    </row>
    <row r="256" s="18" customFormat="1" ht="18" customHeight="1" spans="1:14">
      <c r="A256" s="25">
        <v>200</v>
      </c>
      <c r="B256" s="25" t="s">
        <v>523</v>
      </c>
      <c r="C256" s="25" t="s">
        <v>605</v>
      </c>
      <c r="D256" s="25" t="s">
        <v>623</v>
      </c>
      <c r="E256" s="29" t="s">
        <v>624</v>
      </c>
      <c r="F256" s="29" t="s">
        <v>625</v>
      </c>
      <c r="G256" s="25" t="s">
        <v>19</v>
      </c>
      <c r="H256" s="25">
        <v>4</v>
      </c>
      <c r="I256" s="25">
        <f>ROUND(H256*测算依据!$B$6/测算依据!$B$7,0)</f>
        <v>3</v>
      </c>
      <c r="J256" s="25">
        <f t="shared" si="4"/>
        <v>36</v>
      </c>
      <c r="K256" s="25" t="s">
        <v>20</v>
      </c>
      <c r="L256" s="26" t="s">
        <v>21</v>
      </c>
      <c r="M256" s="27" t="s">
        <v>608</v>
      </c>
      <c r="N256" s="27" t="s">
        <v>626</v>
      </c>
    </row>
    <row r="257" s="18" customFormat="1" ht="18" customHeight="1" spans="1:14">
      <c r="A257" s="25">
        <v>201</v>
      </c>
      <c r="B257" s="25" t="s">
        <v>523</v>
      </c>
      <c r="C257" s="25" t="s">
        <v>605</v>
      </c>
      <c r="D257" s="25" t="s">
        <v>623</v>
      </c>
      <c r="E257" s="29" t="s">
        <v>624</v>
      </c>
      <c r="F257" s="29" t="s">
        <v>627</v>
      </c>
      <c r="G257" s="25" t="s">
        <v>19</v>
      </c>
      <c r="H257" s="25">
        <v>4</v>
      </c>
      <c r="I257" s="25">
        <f>ROUND(H257*测算依据!$B$6/测算依据!$B$7,0)</f>
        <v>3</v>
      </c>
      <c r="J257" s="25">
        <f t="shared" si="4"/>
        <v>36</v>
      </c>
      <c r="K257" s="25" t="s">
        <v>20</v>
      </c>
      <c r="L257" s="26" t="s">
        <v>21</v>
      </c>
      <c r="M257" s="27" t="s">
        <v>608</v>
      </c>
      <c r="N257" s="27" t="s">
        <v>628</v>
      </c>
    </row>
    <row r="258" s="18" customFormat="1" ht="18" customHeight="1" spans="1:14">
      <c r="A258" s="25">
        <v>202</v>
      </c>
      <c r="B258" s="25" t="s">
        <v>523</v>
      </c>
      <c r="C258" s="25" t="s">
        <v>605</v>
      </c>
      <c r="D258" s="25" t="s">
        <v>623</v>
      </c>
      <c r="E258" s="29" t="s">
        <v>624</v>
      </c>
      <c r="F258" s="29" t="s">
        <v>629</v>
      </c>
      <c r="G258" s="25" t="s">
        <v>19</v>
      </c>
      <c r="H258" s="25">
        <v>4</v>
      </c>
      <c r="I258" s="25">
        <f>ROUND(H258*测算依据!$B$6/测算依据!$B$7,0)</f>
        <v>3</v>
      </c>
      <c r="J258" s="25">
        <f t="shared" si="4"/>
        <v>36</v>
      </c>
      <c r="K258" s="25" t="s">
        <v>20</v>
      </c>
      <c r="L258" s="26" t="s">
        <v>21</v>
      </c>
      <c r="M258" s="27" t="s">
        <v>608</v>
      </c>
      <c r="N258" s="27" t="s">
        <v>630</v>
      </c>
    </row>
    <row r="259" s="18" customFormat="1" ht="18" customHeight="1" spans="1:14">
      <c r="A259" s="25">
        <v>203</v>
      </c>
      <c r="B259" s="25" t="s">
        <v>523</v>
      </c>
      <c r="C259" s="25" t="s">
        <v>631</v>
      </c>
      <c r="D259" s="25" t="s">
        <v>632</v>
      </c>
      <c r="E259" s="29" t="s">
        <v>89</v>
      </c>
      <c r="F259" s="29" t="s">
        <v>633</v>
      </c>
      <c r="G259" s="25" t="s">
        <v>45</v>
      </c>
      <c r="H259" s="25">
        <v>5</v>
      </c>
      <c r="I259" s="25">
        <f>ROUND(H259*测算依据!$B$6/测算依据!$B$7,0)</f>
        <v>4</v>
      </c>
      <c r="J259" s="25">
        <f t="shared" si="4"/>
        <v>12</v>
      </c>
      <c r="K259" s="25" t="s">
        <v>20</v>
      </c>
      <c r="L259" s="28" t="s">
        <v>39</v>
      </c>
      <c r="M259" s="27" t="s">
        <v>129</v>
      </c>
      <c r="N259" s="27" t="s">
        <v>634</v>
      </c>
    </row>
    <row r="260" s="18" customFormat="1" ht="18" customHeight="1" spans="1:14">
      <c r="A260" s="25">
        <v>204</v>
      </c>
      <c r="B260" s="25" t="s">
        <v>523</v>
      </c>
      <c r="C260" s="25" t="s">
        <v>631</v>
      </c>
      <c r="D260" s="25" t="s">
        <v>632</v>
      </c>
      <c r="E260" s="29" t="s">
        <v>89</v>
      </c>
      <c r="F260" s="29" t="s">
        <v>635</v>
      </c>
      <c r="G260" s="25" t="s">
        <v>45</v>
      </c>
      <c r="H260" s="25">
        <v>5</v>
      </c>
      <c r="I260" s="25">
        <f>ROUND(H260*测算依据!$B$6/测算依据!$B$7,0)</f>
        <v>4</v>
      </c>
      <c r="J260" s="25">
        <f t="shared" si="4"/>
        <v>12</v>
      </c>
      <c r="K260" s="25" t="s">
        <v>20</v>
      </c>
      <c r="L260" s="28" t="s">
        <v>39</v>
      </c>
      <c r="M260" s="27" t="s">
        <v>129</v>
      </c>
      <c r="N260" s="27" t="s">
        <v>634</v>
      </c>
    </row>
    <row r="261" s="18" customFormat="1" ht="18" customHeight="1" spans="1:14">
      <c r="A261" s="25">
        <v>205</v>
      </c>
      <c r="B261" s="25" t="s">
        <v>523</v>
      </c>
      <c r="C261" s="25" t="s">
        <v>631</v>
      </c>
      <c r="D261" s="25" t="s">
        <v>632</v>
      </c>
      <c r="E261" s="29" t="s">
        <v>89</v>
      </c>
      <c r="F261" s="29" t="s">
        <v>636</v>
      </c>
      <c r="G261" s="25" t="s">
        <v>45</v>
      </c>
      <c r="H261" s="25">
        <v>5</v>
      </c>
      <c r="I261" s="25">
        <f>ROUND(H261*测算依据!$B$6/测算依据!$B$7,0)</f>
        <v>4</v>
      </c>
      <c r="J261" s="25">
        <f t="shared" si="4"/>
        <v>12</v>
      </c>
      <c r="K261" s="25" t="s">
        <v>20</v>
      </c>
      <c r="L261" s="28" t="s">
        <v>39</v>
      </c>
      <c r="M261" s="27" t="s">
        <v>129</v>
      </c>
      <c r="N261" s="27" t="s">
        <v>634</v>
      </c>
    </row>
    <row r="262" s="18" customFormat="1" ht="18" customHeight="1" spans="1:14">
      <c r="A262" s="25">
        <v>209</v>
      </c>
      <c r="B262" s="25" t="s">
        <v>523</v>
      </c>
      <c r="C262" s="25" t="s">
        <v>593</v>
      </c>
      <c r="D262" s="25" t="s">
        <v>637</v>
      </c>
      <c r="E262" s="29" t="s">
        <v>593</v>
      </c>
      <c r="F262" s="29" t="s">
        <v>638</v>
      </c>
      <c r="G262" s="25" t="s">
        <v>19</v>
      </c>
      <c r="H262" s="25">
        <v>4</v>
      </c>
      <c r="I262" s="25">
        <f>ROUND(H262*测算依据!$B$6/测算依据!$B$7,0)</f>
        <v>3</v>
      </c>
      <c r="J262" s="25">
        <f t="shared" si="4"/>
        <v>36</v>
      </c>
      <c r="K262" s="25" t="s">
        <v>20</v>
      </c>
      <c r="L262" s="28" t="s">
        <v>39</v>
      </c>
      <c r="M262" s="27" t="s">
        <v>132</v>
      </c>
      <c r="N262" s="27" t="s">
        <v>639</v>
      </c>
    </row>
    <row r="263" s="18" customFormat="1" ht="18" customHeight="1" spans="1:14">
      <c r="A263" s="25">
        <v>210</v>
      </c>
      <c r="B263" s="25" t="s">
        <v>523</v>
      </c>
      <c r="C263" s="25" t="s">
        <v>593</v>
      </c>
      <c r="D263" s="25" t="s">
        <v>637</v>
      </c>
      <c r="E263" s="29" t="s">
        <v>593</v>
      </c>
      <c r="F263" s="29" t="s">
        <v>640</v>
      </c>
      <c r="G263" s="25" t="s">
        <v>19</v>
      </c>
      <c r="H263" s="25">
        <v>4</v>
      </c>
      <c r="I263" s="25">
        <f>ROUND(H263*测算依据!$B$6/测算依据!$B$7,0)</f>
        <v>3</v>
      </c>
      <c r="J263" s="25">
        <f t="shared" si="4"/>
        <v>36</v>
      </c>
      <c r="K263" s="25" t="s">
        <v>20</v>
      </c>
      <c r="L263" s="28" t="s">
        <v>39</v>
      </c>
      <c r="M263" s="27" t="s">
        <v>132</v>
      </c>
      <c r="N263" s="27" t="s">
        <v>639</v>
      </c>
    </row>
    <row r="264" s="18" customFormat="1" ht="18" customHeight="1" spans="1:14">
      <c r="A264" s="25">
        <v>211</v>
      </c>
      <c r="B264" s="25" t="s">
        <v>523</v>
      </c>
      <c r="C264" s="25" t="s">
        <v>593</v>
      </c>
      <c r="D264" s="25" t="s">
        <v>641</v>
      </c>
      <c r="E264" s="29" t="s">
        <v>593</v>
      </c>
      <c r="F264" s="29" t="s">
        <v>642</v>
      </c>
      <c r="G264" s="25" t="s">
        <v>19</v>
      </c>
      <c r="H264" s="25">
        <v>4</v>
      </c>
      <c r="I264" s="25">
        <f>ROUND(H264*测算依据!$B$6/测算依据!$B$7,0)</f>
        <v>3</v>
      </c>
      <c r="J264" s="25">
        <f t="shared" si="4"/>
        <v>36</v>
      </c>
      <c r="K264" s="25" t="s">
        <v>20</v>
      </c>
      <c r="L264" s="26" t="s">
        <v>21</v>
      </c>
      <c r="M264" s="27" t="s">
        <v>132</v>
      </c>
      <c r="N264" s="27" t="s">
        <v>643</v>
      </c>
    </row>
    <row r="265" s="18" customFormat="1" ht="18" customHeight="1" spans="1:14">
      <c r="A265" s="25">
        <v>212</v>
      </c>
      <c r="B265" s="25" t="s">
        <v>523</v>
      </c>
      <c r="C265" s="25" t="s">
        <v>593</v>
      </c>
      <c r="D265" s="25" t="s">
        <v>644</v>
      </c>
      <c r="E265" s="29" t="s">
        <v>152</v>
      </c>
      <c r="F265" s="29" t="s">
        <v>645</v>
      </c>
      <c r="G265" s="25" t="s">
        <v>19</v>
      </c>
      <c r="H265" s="25">
        <v>4</v>
      </c>
      <c r="I265" s="25">
        <f>ROUND(H265*测算依据!$B$6/测算依据!$B$7,0)</f>
        <v>3</v>
      </c>
      <c r="J265" s="25">
        <f t="shared" si="4"/>
        <v>36</v>
      </c>
      <c r="K265" s="25" t="s">
        <v>20</v>
      </c>
      <c r="L265" s="26" t="s">
        <v>21</v>
      </c>
      <c r="M265" s="27" t="s">
        <v>132</v>
      </c>
      <c r="N265" s="27" t="s">
        <v>646</v>
      </c>
    </row>
    <row r="266" s="18" customFormat="1" ht="18" customHeight="1" spans="1:14">
      <c r="A266" s="25">
        <v>213</v>
      </c>
      <c r="B266" s="25" t="s">
        <v>523</v>
      </c>
      <c r="C266" s="25" t="s">
        <v>593</v>
      </c>
      <c r="D266" s="25" t="s">
        <v>644</v>
      </c>
      <c r="E266" s="29" t="s">
        <v>152</v>
      </c>
      <c r="F266" s="29" t="s">
        <v>647</v>
      </c>
      <c r="G266" s="25" t="s">
        <v>19</v>
      </c>
      <c r="H266" s="25">
        <v>4</v>
      </c>
      <c r="I266" s="25">
        <f>ROUND(H266*测算依据!$B$6/测算依据!$B$7,0)</f>
        <v>3</v>
      </c>
      <c r="J266" s="25">
        <f t="shared" si="4"/>
        <v>36</v>
      </c>
      <c r="K266" s="25" t="s">
        <v>20</v>
      </c>
      <c r="L266" s="26" t="s">
        <v>21</v>
      </c>
      <c r="M266" s="27" t="s">
        <v>132</v>
      </c>
      <c r="N266" s="27" t="s">
        <v>646</v>
      </c>
    </row>
    <row r="267" s="18" customFormat="1" ht="18" customHeight="1" spans="1:14">
      <c r="A267" s="25">
        <v>214</v>
      </c>
      <c r="B267" s="25" t="s">
        <v>523</v>
      </c>
      <c r="C267" s="25" t="s">
        <v>593</v>
      </c>
      <c r="D267" s="25" t="s">
        <v>648</v>
      </c>
      <c r="E267" s="29" t="s">
        <v>593</v>
      </c>
      <c r="F267" s="29" t="s">
        <v>649</v>
      </c>
      <c r="G267" s="25" t="s">
        <v>19</v>
      </c>
      <c r="H267" s="25">
        <v>4</v>
      </c>
      <c r="I267" s="25">
        <f>ROUND(H267*测算依据!$B$6/测算依据!$B$7,0)</f>
        <v>3</v>
      </c>
      <c r="J267" s="25">
        <f t="shared" si="4"/>
        <v>36</v>
      </c>
      <c r="K267" s="25" t="s">
        <v>20</v>
      </c>
      <c r="L267" s="26" t="s">
        <v>21</v>
      </c>
      <c r="M267" s="27" t="s">
        <v>132</v>
      </c>
      <c r="N267" s="27" t="s">
        <v>650</v>
      </c>
    </row>
    <row r="268" s="18" customFormat="1" ht="18" customHeight="1" spans="1:14">
      <c r="A268" s="25">
        <v>215</v>
      </c>
      <c r="B268" s="25" t="s">
        <v>523</v>
      </c>
      <c r="C268" s="25" t="s">
        <v>593</v>
      </c>
      <c r="D268" s="25" t="s">
        <v>648</v>
      </c>
      <c r="E268" s="29" t="s">
        <v>593</v>
      </c>
      <c r="F268" s="29" t="s">
        <v>651</v>
      </c>
      <c r="G268" s="25" t="s">
        <v>19</v>
      </c>
      <c r="H268" s="25">
        <v>4</v>
      </c>
      <c r="I268" s="25">
        <f>ROUND(H268*测算依据!$B$6/测算依据!$B$7,0)</f>
        <v>3</v>
      </c>
      <c r="J268" s="25">
        <f t="shared" si="4"/>
        <v>36</v>
      </c>
      <c r="K268" s="25" t="s">
        <v>20</v>
      </c>
      <c r="L268" s="26" t="s">
        <v>21</v>
      </c>
      <c r="M268" s="27" t="s">
        <v>132</v>
      </c>
      <c r="N268" s="27" t="s">
        <v>650</v>
      </c>
    </row>
    <row r="269" s="18" customFormat="1" ht="18" customHeight="1" spans="1:14">
      <c r="A269" s="25">
        <v>216</v>
      </c>
      <c r="B269" s="25" t="s">
        <v>523</v>
      </c>
      <c r="C269" s="25" t="s">
        <v>593</v>
      </c>
      <c r="D269" s="25" t="s">
        <v>652</v>
      </c>
      <c r="E269" s="29" t="s">
        <v>152</v>
      </c>
      <c r="F269" s="29" t="s">
        <v>653</v>
      </c>
      <c r="G269" s="25" t="s">
        <v>19</v>
      </c>
      <c r="H269" s="25">
        <v>4</v>
      </c>
      <c r="I269" s="25">
        <f>ROUND(H269*测算依据!$B$6/测算依据!$B$7,0)</f>
        <v>3</v>
      </c>
      <c r="J269" s="25">
        <f t="shared" si="4"/>
        <v>36</v>
      </c>
      <c r="K269" s="25" t="s">
        <v>20</v>
      </c>
      <c r="L269" s="28" t="s">
        <v>39</v>
      </c>
      <c r="M269" s="27" t="s">
        <v>132</v>
      </c>
      <c r="N269" s="27" t="s">
        <v>654</v>
      </c>
    </row>
    <row r="270" s="18" customFormat="1" ht="18" customHeight="1" spans="1:14">
      <c r="A270" s="25">
        <v>217</v>
      </c>
      <c r="B270" s="25" t="s">
        <v>523</v>
      </c>
      <c r="C270" s="25" t="s">
        <v>593</v>
      </c>
      <c r="D270" s="25" t="s">
        <v>652</v>
      </c>
      <c r="E270" s="29" t="s">
        <v>152</v>
      </c>
      <c r="F270" s="29" t="s">
        <v>655</v>
      </c>
      <c r="G270" s="25" t="s">
        <v>19</v>
      </c>
      <c r="H270" s="25">
        <v>4</v>
      </c>
      <c r="I270" s="25">
        <f>ROUND(H270*测算依据!$B$6/测算依据!$B$7,0)</f>
        <v>3</v>
      </c>
      <c r="J270" s="25">
        <f t="shared" si="4"/>
        <v>36</v>
      </c>
      <c r="K270" s="25" t="s">
        <v>20</v>
      </c>
      <c r="L270" s="26" t="s">
        <v>21</v>
      </c>
      <c r="M270" s="27" t="s">
        <v>132</v>
      </c>
      <c r="N270" s="27" t="s">
        <v>656</v>
      </c>
    </row>
    <row r="271" s="18" customFormat="1" ht="18" customHeight="1" spans="1:14">
      <c r="A271" s="25">
        <v>218</v>
      </c>
      <c r="B271" s="25" t="s">
        <v>523</v>
      </c>
      <c r="C271" s="25" t="s">
        <v>593</v>
      </c>
      <c r="D271" s="25" t="s">
        <v>657</v>
      </c>
      <c r="E271" s="29" t="s">
        <v>658</v>
      </c>
      <c r="F271" s="29" t="s">
        <v>659</v>
      </c>
      <c r="G271" s="25" t="s">
        <v>31</v>
      </c>
      <c r="H271" s="25">
        <v>4</v>
      </c>
      <c r="I271" s="25">
        <f>ROUND(H271*测算依据!$B$6/测算依据!$B$7,0)</f>
        <v>3</v>
      </c>
      <c r="J271" s="25">
        <f t="shared" si="4"/>
        <v>36</v>
      </c>
      <c r="K271" s="25" t="s">
        <v>20</v>
      </c>
      <c r="L271" s="26" t="s">
        <v>21</v>
      </c>
      <c r="M271" s="27" t="s">
        <v>132</v>
      </c>
      <c r="N271" s="27" t="s">
        <v>660</v>
      </c>
    </row>
    <row r="272" s="18" customFormat="1" ht="18" customHeight="1" spans="1:14">
      <c r="A272" s="25">
        <v>219</v>
      </c>
      <c r="B272" s="25" t="s">
        <v>523</v>
      </c>
      <c r="C272" s="25" t="s">
        <v>593</v>
      </c>
      <c r="D272" s="25" t="s">
        <v>657</v>
      </c>
      <c r="E272" s="29" t="s">
        <v>658</v>
      </c>
      <c r="F272" s="29" t="s">
        <v>661</v>
      </c>
      <c r="G272" s="25" t="s">
        <v>31</v>
      </c>
      <c r="H272" s="25">
        <v>4</v>
      </c>
      <c r="I272" s="25">
        <f>ROUND(H272*测算依据!$B$6/测算依据!$B$7,0)</f>
        <v>3</v>
      </c>
      <c r="J272" s="25">
        <f t="shared" si="4"/>
        <v>36</v>
      </c>
      <c r="K272" s="25" t="s">
        <v>20</v>
      </c>
      <c r="L272" s="26" t="s">
        <v>21</v>
      </c>
      <c r="M272" s="27" t="s">
        <v>132</v>
      </c>
      <c r="N272" s="27" t="s">
        <v>660</v>
      </c>
    </row>
    <row r="273" s="18" customFormat="1" ht="18" customHeight="1" spans="1:14">
      <c r="A273" s="25">
        <v>220</v>
      </c>
      <c r="B273" s="25" t="s">
        <v>523</v>
      </c>
      <c r="C273" s="25" t="s">
        <v>593</v>
      </c>
      <c r="D273" s="25" t="s">
        <v>657</v>
      </c>
      <c r="E273" s="29" t="s">
        <v>658</v>
      </c>
      <c r="F273" s="29" t="s">
        <v>662</v>
      </c>
      <c r="G273" s="25" t="s">
        <v>31</v>
      </c>
      <c r="H273" s="25">
        <v>4</v>
      </c>
      <c r="I273" s="25">
        <f>ROUND(H273*测算依据!$B$6/测算依据!$B$7,0)</f>
        <v>3</v>
      </c>
      <c r="J273" s="25">
        <f t="shared" si="4"/>
        <v>36</v>
      </c>
      <c r="K273" s="25" t="s">
        <v>20</v>
      </c>
      <c r="L273" s="26" t="s">
        <v>21</v>
      </c>
      <c r="M273" s="27" t="s">
        <v>132</v>
      </c>
      <c r="N273" s="27" t="s">
        <v>660</v>
      </c>
    </row>
    <row r="274" spans="1:14">
      <c r="A274" s="31" t="s">
        <v>663</v>
      </c>
      <c r="B274" s="31"/>
      <c r="C274" s="31"/>
      <c r="D274" s="31"/>
      <c r="E274" s="31"/>
      <c r="F274" s="31"/>
      <c r="G274" s="31"/>
      <c r="H274" s="31">
        <f>SUM(H2:H273)</f>
        <v>1191</v>
      </c>
      <c r="I274" s="31">
        <f>SUM(I2:I273)</f>
        <v>919</v>
      </c>
      <c r="J274" s="31" t="s">
        <v>664</v>
      </c>
      <c r="K274" s="31" t="s">
        <v>664</v>
      </c>
      <c r="L274" t="s">
        <v>664</v>
      </c>
      <c r="M274" t="s">
        <v>664</v>
      </c>
      <c r="N274" t="s">
        <v>665</v>
      </c>
    </row>
  </sheetData>
  <autoFilter xmlns:etc="http://www.wps.cn/officeDocument/2017/etCustomData" ref="A1:N274" etc:filterBottomFollowUsedRange="0">
    <extLst/>
  </autoFilter>
  <conditionalFormatting sqref="B118:B139">
    <cfRule type="expression" dxfId="0" priority="1">
      <formula>MOD(ROW(),2)=1</formula>
    </cfRule>
  </conditionalFormatting>
  <conditionalFormatting sqref="F2:F111">
    <cfRule type="containsText" dxfId="1" priority="3" operator="between" text="EI">
      <formula>NOT(ISERROR(SEARCH("EI",F2)))</formula>
    </cfRule>
    <cfRule type="containsText" dxfId="1" priority="4" operator="between" text="EO">
      <formula>NOT(ISERROR(SEARCH("EO",F2)))</formula>
    </cfRule>
    <cfRule type="containsText" dxfId="1" priority="5" operator="between" text="EQ">
      <formula>NOT(ISERROR(SEARCH("EQ",F2)))</formula>
    </cfRule>
  </conditionalFormatting>
  <conditionalFormatting sqref="A2:J111">
    <cfRule type="expression" dxfId="0" priority="2">
      <formula>MOD(ROW(),2)=1</formula>
    </cfRule>
  </conditionalFormatting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6"/>
  <sheetViews>
    <sheetView workbookViewId="0">
      <selection activeCell="A1" sqref="A1"/>
    </sheetView>
  </sheetViews>
  <sheetFormatPr defaultColWidth="9" defaultRowHeight="16.8" outlineLevelCol="5"/>
  <cols>
    <col min="1" max="1" width="95" style="1" customWidth="1"/>
    <col min="2" max="6" width="12" style="1" customWidth="1"/>
  </cols>
  <sheetData>
    <row r="1" ht="19.2" spans="1:6">
      <c r="A1" s="8" t="s">
        <v>666</v>
      </c>
    </row>
    <row r="2" spans="1:6">
      <c r="A2" s="9" t="s">
        <v>667</v>
      </c>
    </row>
    <row r="4" spans="1:6">
      <c r="A4" s="10" t="s">
        <v>1</v>
      </c>
      <c r="B4" s="10" t="s">
        <v>668</v>
      </c>
      <c r="C4" s="10" t="s">
        <v>21</v>
      </c>
      <c r="D4" s="10" t="s">
        <v>39</v>
      </c>
      <c r="E4" s="10" t="s">
        <v>669</v>
      </c>
      <c r="F4" s="10" t="s">
        <v>670</v>
      </c>
    </row>
    <row r="5" spans="1:6">
      <c r="A5" s="11" t="s">
        <v>14</v>
      </c>
      <c r="B5" s="12">
        <v>27</v>
      </c>
      <c r="C5" s="12">
        <v>17</v>
      </c>
      <c r="D5" s="12">
        <v>10</v>
      </c>
      <c r="E5" s="12">
        <v>0</v>
      </c>
      <c r="F5" s="12" t="s">
        <v>671</v>
      </c>
    </row>
    <row r="6" spans="1:6">
      <c r="A6" s="11" t="s">
        <v>114</v>
      </c>
      <c r="B6" s="12">
        <v>78</v>
      </c>
      <c r="C6" s="12">
        <v>4</v>
      </c>
      <c r="D6" s="12">
        <v>70</v>
      </c>
      <c r="E6" s="12">
        <v>4</v>
      </c>
      <c r="F6" s="12" t="s">
        <v>672</v>
      </c>
    </row>
    <row r="7" spans="1:6">
      <c r="A7" s="11" t="s">
        <v>284</v>
      </c>
      <c r="B7" s="12">
        <v>39</v>
      </c>
      <c r="C7" s="12">
        <v>5</v>
      </c>
      <c r="D7" s="12">
        <v>15</v>
      </c>
      <c r="E7" s="12">
        <v>19</v>
      </c>
      <c r="F7" s="12" t="s">
        <v>673</v>
      </c>
    </row>
    <row r="8" spans="1:6">
      <c r="A8" s="11" t="s">
        <v>372</v>
      </c>
      <c r="B8" s="12">
        <v>30</v>
      </c>
      <c r="C8" s="12">
        <v>0</v>
      </c>
      <c r="D8" s="12">
        <v>30</v>
      </c>
      <c r="E8" s="12">
        <v>0</v>
      </c>
      <c r="F8" s="12" t="s">
        <v>674</v>
      </c>
    </row>
    <row r="9" spans="1:6">
      <c r="A9" s="11" t="s">
        <v>454</v>
      </c>
      <c r="B9" s="12">
        <v>45</v>
      </c>
      <c r="C9" s="12">
        <v>0</v>
      </c>
      <c r="D9" s="12">
        <v>0</v>
      </c>
      <c r="E9" s="12">
        <v>45</v>
      </c>
      <c r="F9" s="12" t="s">
        <v>674</v>
      </c>
    </row>
    <row r="10" spans="1:6">
      <c r="A10" s="11" t="s">
        <v>523</v>
      </c>
      <c r="B10" s="12">
        <v>68</v>
      </c>
      <c r="C10" s="12">
        <v>32</v>
      </c>
      <c r="D10" s="12">
        <v>27</v>
      </c>
      <c r="E10" s="12">
        <v>9</v>
      </c>
      <c r="F10" s="12" t="s">
        <v>675</v>
      </c>
    </row>
    <row r="11" spans="1:6">
      <c r="A11" s="13" t="s">
        <v>663</v>
      </c>
      <c r="B11" s="14">
        <v>287</v>
      </c>
      <c r="C11" s="14">
        <v>58</v>
      </c>
      <c r="D11" s="14">
        <v>152</v>
      </c>
      <c r="E11" s="14">
        <v>77</v>
      </c>
      <c r="F11" s="14" t="s">
        <v>676</v>
      </c>
    </row>
    <row r="13" spans="1:6">
      <c r="A13" s="15" t="s">
        <v>677</v>
      </c>
    </row>
    <row r="14" spans="1:6">
      <c r="A14" s="16" t="s">
        <v>678</v>
      </c>
    </row>
    <row r="15" spans="1:6">
      <c r="A15" s="16" t="s">
        <v>679</v>
      </c>
    </row>
    <row r="16" spans="1:6">
      <c r="A16" s="16" t="s">
        <v>680</v>
      </c>
    </row>
    <row r="18" spans="1:1">
      <c r="A18" s="17" t="s">
        <v>681</v>
      </c>
    </row>
    <row r="19" spans="1:1">
      <c r="A19" s="16" t="s">
        <v>682</v>
      </c>
    </row>
    <row r="20" spans="1:1">
      <c r="A20" s="16" t="s">
        <v>683</v>
      </c>
    </row>
    <row r="21" spans="1:1">
      <c r="A21" s="16" t="s">
        <v>684</v>
      </c>
    </row>
    <row r="22" spans="1:1">
      <c r="A22" s="16" t="s">
        <v>685</v>
      </c>
    </row>
    <row r="23" spans="1:1">
      <c r="A23" s="16" t="s">
        <v>686</v>
      </c>
    </row>
    <row r="24" spans="1:1">
      <c r="A24" s="16" t="s">
        <v>687</v>
      </c>
    </row>
    <row r="25" spans="1:1">
      <c r="A25" s="16" t="s">
        <v>688</v>
      </c>
    </row>
    <row r="26" spans="1:1">
      <c r="A26" s="16" t="s">
        <v>689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0AD47"/>
  </sheetPr>
  <dimension ref="A1:B16"/>
  <sheetViews>
    <sheetView showGridLines="0" workbookViewId="0">
      <pane ySplit="3" topLeftCell="A4" activePane="bottomLeft" state="frozen"/>
      <selection/>
      <selection pane="bottomLeft" activeCell="A1" sqref="A1:B1"/>
    </sheetView>
  </sheetViews>
  <sheetFormatPr defaultColWidth="9" defaultRowHeight="16.8" outlineLevelCol="1"/>
  <cols>
    <col min="1" max="1" width="30" style="1" customWidth="1"/>
    <col min="2" max="2" width="80" style="1" customWidth="1"/>
  </cols>
  <sheetData>
    <row r="1" ht="28" customHeight="1" spans="1:2">
      <c r="A1" s="2" t="s">
        <v>690</v>
      </c>
    </row>
    <row r="3" spans="1:2">
      <c r="A3" s="3" t="s">
        <v>691</v>
      </c>
      <c r="B3" s="3" t="s">
        <v>692</v>
      </c>
    </row>
    <row r="4" ht="26" customHeight="1" spans="1:2">
      <c r="A4" s="4" t="s">
        <v>693</v>
      </c>
      <c r="B4" s="4" t="s">
        <v>694</v>
      </c>
    </row>
    <row r="5" ht="26" customHeight="1" spans="1:2">
      <c r="A5" s="5" t="s">
        <v>695</v>
      </c>
      <c r="B5" s="5" t="s">
        <v>696</v>
      </c>
    </row>
    <row r="6" ht="26" customHeight="1" spans="1:2">
      <c r="A6" s="5" t="s">
        <v>697</v>
      </c>
      <c r="B6" s="5">
        <v>6.71</v>
      </c>
    </row>
    <row r="7" ht="26" customHeight="1" spans="1:2">
      <c r="A7" s="5" t="s">
        <v>698</v>
      </c>
      <c r="B7" s="5">
        <v>8</v>
      </c>
    </row>
    <row r="8" ht="26" customHeight="1" spans="1:2">
      <c r="A8" s="5" t="s">
        <v>10</v>
      </c>
      <c r="B8" s="5" t="s">
        <v>699</v>
      </c>
    </row>
    <row r="9" ht="26" customHeight="1" spans="1:2">
      <c r="A9" s="5" t="s">
        <v>700</v>
      </c>
      <c r="B9" s="5">
        <v>1</v>
      </c>
    </row>
    <row r="10" ht="26" customHeight="1" spans="1:2">
      <c r="A10" s="5" t="s">
        <v>701</v>
      </c>
      <c r="B10" s="5" t="s">
        <v>702</v>
      </c>
    </row>
    <row r="11" ht="26" customHeight="1" spans="1:2">
      <c r="A11" s="5" t="s">
        <v>703</v>
      </c>
      <c r="B11" s="5" t="s">
        <v>704</v>
      </c>
    </row>
    <row r="12" ht="26" customHeight="1" spans="1:2">
      <c r="A12" s="5" t="s">
        <v>705</v>
      </c>
      <c r="B12" s="5" t="s">
        <v>706</v>
      </c>
    </row>
    <row r="13" ht="26" customHeight="1" spans="1:2">
      <c r="A13" s="5" t="s">
        <v>707</v>
      </c>
      <c r="B13" s="5" t="s">
        <v>708</v>
      </c>
    </row>
    <row r="14" ht="26" customHeight="1" spans="1:2">
      <c r="A14" s="5" t="s">
        <v>709</v>
      </c>
      <c r="B14" s="5" t="s">
        <v>710</v>
      </c>
    </row>
    <row r="15" ht="26" customHeight="1" spans="1:2">
      <c r="A15" s="6" t="s">
        <v>711</v>
      </c>
      <c r="B15" s="6">
        <f>SUM(功能点测算表!$H$2:$H$273)</f>
        <v>1191</v>
      </c>
    </row>
    <row r="16" ht="26" customHeight="1" spans="1:2">
      <c r="A16" s="7" t="s">
        <v>712</v>
      </c>
      <c r="B16" s="7">
        <f>SUM(功能点测算表!$I$2:$I$273)</f>
        <v>919</v>
      </c>
    </row>
  </sheetData>
  <mergeCells count="1">
    <mergeCell ref="A1:B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功能点测算表</vt:lpstr>
      <vt:lpstr>出处核对汇总</vt:lpstr>
      <vt:lpstr>测算依据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安辉</cp:lastModifiedBy>
  <dcterms:created xsi:type="dcterms:W3CDTF">2026-09-29T10:58:00Z</dcterms:created>
  <dcterms:modified xsi:type="dcterms:W3CDTF">2026-09-28T15:27:09Z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F0906FED21C21188E313BA6ADD27A26D_43</vt:lpwstr>
  </property>
  <property fmtid="{D5CDD505-2E9C-101B-9397-08002B2CF9AE}" pid="3" name="KSOProductBuildVer">
    <vt:lpwstr>2052-12.1.28492.28492</vt:lpwstr>
  </property>
  <property fmtid="{D5CDD505-2E9C-101B-9397-08002B2CF9AE}" pid="4" name="CalculationRule">
    <vt:i4>0</vt:i4>
  </property>
</Properties>
</file>